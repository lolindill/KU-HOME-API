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อกสารระบบที่พัก" sheetId="1" r:id="rId5"/>
    <sheet state="visible" name="ใบรายงาน (Reports)" sheetId="2" r:id="rId6"/>
    <sheet state="visible" name="ตย.รายงานห้องเข้าพัก " sheetId="3" r:id="rId7"/>
    <sheet state="visible" name="ตย.รายงานห้องขาออก" sheetId="4" r:id="rId8"/>
    <sheet state="visible" name="ตย.รายงานการเงินรายวัน" sheetId="5" r:id="rId9"/>
    <sheet state="visible" name="ตย.รายงานการมัดจำ" sheetId="6" r:id="rId10"/>
    <sheet state="visible" name="ตย.การเข้าพัก" sheetId="7" r:id="rId11"/>
    <sheet state="visible" name="ตย.รายงานอาหารเช้า" sheetId="8" r:id="rId12"/>
    <sheet state="visible" name="ตย.รายงาน โอนระหว่างหน่วยงาน" sheetId="9" r:id="rId13"/>
    <sheet state="hidden" name="ตย.รายงานแม่บ้าน" sheetId="10" r:id="rId14"/>
    <sheet state="visible" name="ตย.รายงานแม่บ้าน " sheetId="11" r:id="rId15"/>
    <sheet state="visible" name="ตย.รายงาน Room Status" sheetId="12" r:id="rId16"/>
    <sheet state="visible" name="ตย.เตียงเสริม" sheetId="13" r:id="rId17"/>
    <sheet state="visible" name="ตย.วัสดุสินเปลื้อง" sheetId="14" r:id="rId18"/>
    <sheet state="visible" name="ตย.รายงานห้องชำรุด" sheetId="15" r:id="rId19"/>
    <sheet state="visible" name="ตย.ค่าปรับยืมอุปกรณ์เพิ่มเติม " sheetId="16" r:id="rId20"/>
    <sheet state="visible" name="ตย.รายงานผู้จัดการ" sheetId="17" r:id="rId21"/>
  </sheets>
  <definedNames/>
  <calcPr/>
</workbook>
</file>

<file path=xl/sharedStrings.xml><?xml version="1.0" encoding="utf-8"?>
<sst xmlns="http://schemas.openxmlformats.org/spreadsheetml/2006/main" count="1402" uniqueCount="399">
  <si>
    <t>รายงานห้องออก (Check-out Report)</t>
  </si>
  <si>
    <t>รายงานห้องเข้าพัก (Check-in Report)</t>
  </si>
  <si>
    <t>วันที่ Check-in</t>
  </si>
  <si>
    <t>รายงานห้องเข้าพัก  (Check-in Report)</t>
  </si>
  <si>
    <t xml:space="preserve"> ประเภทห้องพัก</t>
  </si>
  <si>
    <t>ทุกประเภท</t>
  </si>
  <si>
    <t>บุ๊กกิ้ง</t>
  </si>
  <si>
    <t xml:space="preserve">รายการเอกสารระบบที่พัก </t>
  </si>
  <si>
    <t xml:space="preserve">รายการใบรายงานระบบที่พัก </t>
  </si>
  <si>
    <t>เลขห้อง</t>
  </si>
  <si>
    <t>ชื่อผู้พัก</t>
  </si>
  <si>
    <t>ประเภทของห้องพัก</t>
  </si>
  <si>
    <t>วันที่เช็คอิน</t>
  </si>
  <si>
    <t>วันที่เช็คเอ้าท์</t>
  </si>
  <si>
    <t>จำนวนคืน</t>
  </si>
  <si>
    <t>ราคาเต็ม</t>
  </si>
  <si>
    <t>ชำระแล้ว</t>
  </si>
  <si>
    <t>ค้างชำระ</t>
  </si>
  <si>
    <t>คำขอพิเศษ (ถ้ามี)</t>
  </si>
  <si>
    <t>ข้อมูล Early Check in / Extra bed (ถ้ามี)</t>
  </si>
  <si>
    <t>Grand Total</t>
  </si>
  <si>
    <t>ชื่อเอกสาร</t>
  </si>
  <si>
    <t>โอนระหว่างหน่วยงาน</t>
  </si>
  <si>
    <t>ชื่อรายงาน</t>
  </si>
  <si>
    <t>Fully Paid</t>
  </si>
  <si>
    <t>xxxxx</t>
  </si>
  <si>
    <t>หมวดหมู่/ประเภท</t>
  </si>
  <si>
    <t xml:space="preserve">ใช้ตอนไหน </t>
  </si>
  <si>
    <t xml:space="preserve">รูปแบบการโต้ตอบ </t>
  </si>
  <si>
    <t xml:space="preserve">ข้อมูลที่ต้องกรอก/แสดง </t>
  </si>
  <si>
    <t>Template/Format</t>
  </si>
  <si>
    <t>ประเภทของรายงาน</t>
  </si>
  <si>
    <t xml:space="preserve">หมายเหตุ </t>
  </si>
  <si>
    <t>คุณมานิตย์ คำสวย</t>
  </si>
  <si>
    <t>Superior</t>
  </si>
  <si>
    <t>วิธีการกรองข้อมูล</t>
  </si>
  <si>
    <t>ใบลงทะเบียนการเข้าพัก (Registration)</t>
  </si>
  <si>
    <t>คุณกันต์ ขยันจัง</t>
  </si>
  <si>
    <t xml:space="preserve">ข้อมูลที่จะแสดงในรายงาน </t>
  </si>
  <si>
    <t>คุณฉัตรชัย สุขดี</t>
  </si>
  <si>
    <t xml:space="preserve">รูปแบบผลลัพธ์ </t>
  </si>
  <si>
    <t>ขอกาน้ำ</t>
  </si>
  <si>
    <t xml:space="preserve">ความถี่การใช้งาน </t>
  </si>
  <si>
    <t>ขอห้องชั้นไม่สูง</t>
  </si>
  <si>
    <t>Deluxe</t>
  </si>
  <si>
    <t>ผู้ใช้งาน (หลัก)</t>
  </si>
  <si>
    <t>เอกสารยืนยันตัวตน</t>
  </si>
  <si>
    <t>หมายเหตุ</t>
  </si>
  <si>
    <t>คณะวิศวกรรมศาสตร์</t>
  </si>
  <si>
    <t>รายงานห้องเข้าพัก 
(Check-in Report)</t>
  </si>
  <si>
    <t>คุณพงศกร สีเหลือง</t>
  </si>
  <si>
    <t>Extra bed 1 เตียง</t>
  </si>
  <si>
    <t>คุณยุวดี คิดไว</t>
  </si>
  <si>
    <t>คุณดวงใจ ต้นไม้</t>
  </si>
  <si>
    <t>Suite</t>
  </si>
  <si>
    <t>คุณพรพรรณ ใจดี</t>
  </si>
  <si>
    <t>ตอนเช็คอิน</t>
  </si>
  <si>
    <t>คุณกนกพร สินใจ</t>
  </si>
  <si>
    <t>Summary</t>
  </si>
  <si>
    <t>Total</t>
  </si>
  <si>
    <t xml:space="preserve"> Superior</t>
  </si>
  <si>
    <t>7 Room</t>
  </si>
  <si>
    <t xml:space="preserve"> Deluxe</t>
  </si>
  <si>
    <t>4 Room</t>
  </si>
  <si>
    <t xml:space="preserve"> Suite</t>
  </si>
  <si>
    <t>1 Room</t>
  </si>
  <si>
    <t>รายงานปฏิบัติการรายวัน</t>
  </si>
  <si>
    <t>View + Sign + Upload</t>
  </si>
  <si>
    <t>วันที่, ช่วงวัน, ประเภทห้องพัก</t>
  </si>
  <si>
    <t>1. ชื่อ-นามสกุล
2. เลขบัตร/พาสปอร์ต
3. รูปถ่ายหน้าบัตร 
4. เบอร์โทร
5. วันที่เข้า-ออก
6. ราคา
7. เลขห้อง
8. ประเภทห้องพัก</t>
  </si>
  <si>
    <t xml:space="preserve">ผ่านจอแท็บเล็ต หรือ Template PDF </t>
  </si>
  <si>
    <t>บุ๊กกิ้ง เลขห้อง โอนระหว่างหน่วยงาน ชื่อผู้พัก ประเภทของห้องพัก วันที่เช็คอิน วันที่เช็คเอ้าท์ จำนวนคืน ราคาเต็ม ชำระแล้ว ค้างชำระ คำขอพิเศษ (ถ้ามี) ข้อมูล Early Check in / Extra bed (ถ้ามี)</t>
  </si>
  <si>
    <t>ดูหน้าจอ + Export PDF/Excel</t>
  </si>
  <si>
    <t>รายวัน</t>
  </si>
  <si>
    <t>ต้องเก็บสำเนาที่เซ็นแล้วอย่างน้อย 1 ปี</t>
  </si>
  <si>
    <t>พนักงานหน้าเคาน์เตอร์</t>
  </si>
  <si>
    <t>deposit/ยังไม่ได้ชำระ</t>
  </si>
  <si>
    <t>ใช้กระทบยอดกับใบจองทุกเช้า</t>
  </si>
  <si>
    <t>รายงานห้องออก
(Check-out Report)</t>
  </si>
  <si>
    <t>แบบให้ความยินยอมในการเก็บรวบรวมข้อมูลส่วนบุคคล
(PDPA Form)</t>
  </si>
  <si>
    <t>เอกสารประกอบการเข้าพัก</t>
  </si>
  <si>
    <t>12 Room</t>
  </si>
  <si>
    <t>บุ๊กกิ้ง เลขห้อง  ชื่อผู้พัก ประเภทของห้องพัก วันที่เช็คอิน วันที่เช็คเอ้าท์ จำนวนคืน ราคาเต็ม ชำระแล้ว ค้างชำระ คำขอพิเศษ (ถ้ามี) ข้อมูล Early Check in / Extra bed (ถ้ามี)</t>
  </si>
  <si>
    <t>ดูและกดยินยอม</t>
  </si>
  <si>
    <t xml:space="preserve">แบบฟอร์มให้ความยิมยอม 
ตามไฟล์ที่แนบ </t>
  </si>
  <si>
    <t xml:space="preserve">รายละเอียดข้อมูลและกดยิมยอม หรือTemplate PDF </t>
  </si>
  <si>
    <t>รายงานการเงินรายวัน 
(Daily Financial Report)</t>
  </si>
  <si>
    <t>รายงานการเงิน</t>
  </si>
  <si>
    <t>วันที่, ช่วงวัน, ช่องทางการชำระ</t>
  </si>
  <si>
    <t>รายรับ (แยกช่องทางที่ชำระ), เลขบุ๊กกิ้ง, ชื่อผู้จอง, ราคา, ราคารวม, จำนวนธุรกรรม</t>
  </si>
  <si>
    <t>แบบข้อตกลงการเข้าพักรายเดือน
(Monthly Guest Agreement)</t>
  </si>
  <si>
    <t>Export PDF/Excel เพื่อปิดยอดบัญชี</t>
  </si>
  <si>
    <t>ฝ่ายบัญชี, แอดมิน, ผู้จัดการ</t>
  </si>
  <si>
    <t>เอกสารกฎระเบียบ</t>
  </si>
  <si>
    <t>ต้องกระทบยอดกับเงินสดจริงและระบบชำระเงินทุกสิ้นวัน</t>
  </si>
  <si>
    <t xml:space="preserve">แบบข้อตกลง/เงื่อนไขการพักรายเดือน 
ตามไฟล์ที่แนบ </t>
  </si>
  <si>
    <t xml:space="preserve">รายละเอียดข้อมูลและกดยินยอม หรือ Template PDF </t>
  </si>
  <si>
    <t>รายงานการเข้าพัก 
(Occupancy Report)</t>
  </si>
  <si>
    <t>รายงานบริหารจัดการ</t>
  </si>
  <si>
    <t>จำนวนห้องทั้งหมด, ห้องที่ถูกจอง, % Occupancy, 
รายได้เฉลี่ยต่อห้อง (ADR)</t>
  </si>
  <si>
    <t>ดูหน้าจอ (กราฟ) + Export Excel</t>
  </si>
  <si>
    <t>ใบเสนอราคา
(Booking Quotation)</t>
  </si>
  <si>
    <t>รายสัปดาห์/รายเดือน</t>
  </si>
  <si>
    <t>ผู้บริหาร, ผู้จัดการ</t>
  </si>
  <si>
    <t>เอกสารประกอบจอง</t>
  </si>
  <si>
    <t>ตอนลูกค้าจอง (ยังไม่ได้ชำระเงิน)</t>
  </si>
  <si>
    <t>ใช้วางแผนราคาห้องและโปรโมชัน</t>
  </si>
  <si>
    <t>View + Print</t>
  </si>
  <si>
    <t>1. Booking Number
2. ชื่อ-นามสกุล หรือ ชื่อหน่วยงาน (ชื่อเต็ม)
3. เบอร์โทร
4. วันที่เข้า-ออก
5. ราคา
6. ประเภทห้องพัก
7. ชื่อเจ้าหน้าที่ผู้ทำการจอง
8. โน๊ตสำหรับผู้จอง เช่น ที่อยู่ออกใบเสร็จ/สาระสำคัญที่ลูกค้าแจ้งเพิ่มเติม</t>
  </si>
  <si>
    <t xml:space="preserve">Template PDF </t>
  </si>
  <si>
    <t>รายงานการเงินประจำวัน (Financial Report)</t>
  </si>
  <si>
    <t>ประจำวันที่ (Filter)</t>
  </si>
  <si>
    <t>รายงานยอดค้างชำระ 
(Outstanding Payment Report)</t>
  </si>
  <si>
    <t>ใบยืนยันการเข้าพัก
(Booking Confirmation)</t>
  </si>
  <si>
    <t>ตอนลูกค้าจอง (ชำระเงินเรียบร้อย)</t>
  </si>
  <si>
    <t>วันที่, ช่วงวัน,</t>
  </si>
  <si>
    <t>ชื่อลูกค้า, เลขห้อง/ใบจอง, 
ยอดค้างชำระ, วันครบกำหนด</t>
  </si>
  <si>
    <t>วันที่</t>
  </si>
  <si>
    <t>ดูหน้าจอ + Export Excel</t>
  </si>
  <si>
    <t>เวลา</t>
  </si>
  <si>
    <t>รายวัน/ตามต้องการ</t>
  </si>
  <si>
    <t>ชื่อ USER</t>
  </si>
  <si>
    <t>ยอดเงินโอน</t>
  </si>
  <si>
    <t>สถานะ</t>
  </si>
  <si>
    <t>ช่องทางชำระเงิน</t>
  </si>
  <si>
    <t>เลขอ้างอิงใบเสร็จพร้อมวันที่ 
(ในอนาคต)</t>
  </si>
  <si>
    <t>ฝ่ายบัญชี, ผู้จัดการ</t>
  </si>
  <si>
    <t>รูปถ่ายสลิป</t>
  </si>
  <si>
    <t>ใบเสร็จรับเงิน
(Receipt)</t>
  </si>
  <si>
    <t>ใช้ติดตามทวงถามลูกค้า</t>
  </si>
  <si>
    <t>เอกสารการเงิน</t>
  </si>
  <si>
    <t>ชำระเงินเต็มจำนวน</t>
  </si>
  <si>
    <t>เต็มจำนวน</t>
  </si>
  <si>
    <t>QR Code</t>
  </si>
  <si>
    <t>*รูปแนบสลิป*</t>
  </si>
  <si>
    <r>
      <rPr>
        <rFont val="Calibri"/>
        <color theme="1"/>
        <sz val="15.0"/>
        <u/>
      </rPr>
      <t>ข้อมูลที่ลูกค้าแจ้งออกใบเสร็จ</t>
    </r>
    <r>
      <rPr>
        <rFont val="Calibri"/>
        <b/>
        <color theme="1"/>
        <sz val="15.0"/>
      </rPr>
      <t xml:space="preserve">
</t>
    </r>
    <r>
      <rPr>
        <rFont val="Calibri"/>
        <color theme="1"/>
        <sz val="15.0"/>
      </rPr>
      <t xml:space="preserve">- ชื่อ ที่อยู่ และเลขที่ผู้เสียภาษี 
</t>
    </r>
    <r>
      <rPr>
        <rFont val="Calibri"/>
        <color theme="1"/>
        <sz val="15.0"/>
        <u/>
      </rPr>
      <t>รายละเอียดการเข้าพัก</t>
    </r>
    <r>
      <rPr>
        <rFont val="Calibri"/>
        <color theme="1"/>
        <sz val="15.0"/>
      </rPr>
      <t xml:space="preserve">
- วันที่เข้า-ออกที่พัก
- รายชื่อผู้เข้าพัก 
- ประเภทห้องพัก + ราคาต่อคืน</t>
    </r>
  </si>
  <si>
    <t>รายงานอาหารเช้า 
(Daily Breakfast Report)</t>
  </si>
  <si>
    <t>ใบรายชื่อผู้เข้าพัก
(Guest Folio)</t>
  </si>
  <si>
    <t>คุณธวัชชัย การงาน</t>
  </si>
  <si>
    <t xml:space="preserve">วันที่, ช่วงวัน, ประเภทของอาหารเช้า </t>
  </si>
  <si>
    <t xml:space="preserve">วันที่รับประทานอาหาร, ชื่อลูกค้า, จำนวน, ประเภทอาหาร (กล่องหรือแบบตัก), ราคา (100/200) จำนวนทั้งหมด </t>
  </si>
  <si>
    <t>ดูหน้าจอ + Export PDF/Excel + Print</t>
  </si>
  <si>
    <t>มัดจำ 50%</t>
  </si>
  <si>
    <t>พนักงานหน้าเคาน์เตอร์, แอดมิน</t>
  </si>
  <si>
    <t>หลังได้รับใบเสร็จ</t>
  </si>
  <si>
    <t>ใช้เพื่อเตรียมข้อมูลให้ทางร้านอาหาร</t>
  </si>
  <si>
    <r>
      <rPr>
        <rFont val="Calibri"/>
        <color theme="1"/>
        <sz val="15.0"/>
        <u/>
      </rPr>
      <t>ข้อมูลที่ลูกค้าแจ้งออกใบเสร็จ</t>
    </r>
    <r>
      <rPr>
        <rFont val="Calibri"/>
        <b/>
        <color theme="1"/>
        <sz val="15.0"/>
      </rPr>
      <t xml:space="preserve">
</t>
    </r>
    <r>
      <rPr>
        <rFont val="Calibri"/>
        <color theme="1"/>
        <sz val="15.0"/>
      </rPr>
      <t xml:space="preserve">- ชื่อ ที่อยู่ และเลขที่ผู้เสียภาษี 
</t>
    </r>
    <r>
      <rPr>
        <rFont val="Calibri"/>
        <color theme="1"/>
        <sz val="15.0"/>
        <u/>
      </rPr>
      <t>รายละเอียดการเข้าพัก</t>
    </r>
    <r>
      <rPr>
        <rFont val="Calibri"/>
        <color theme="1"/>
        <sz val="15.0"/>
      </rPr>
      <t xml:space="preserve">
- วันที่เข้า-ออกที่พัก
- รายชื่อผู้เข้าพัก 
- ประเภทห้องพัก + ราคาต่อคืน</t>
    </r>
  </si>
  <si>
    <t>เงินสด</t>
  </si>
  <si>
    <t>บัตรเครดิต</t>
  </si>
  <si>
    <t>รายงานแม่บ้าน 
(Housekeeping Report)</t>
  </si>
  <si>
    <t xml:space="preserve">ใบงานแม่บ้าน
(Housekeeper Assignment Sheet)
</t>
  </si>
  <si>
    <t>ใบงาน</t>
  </si>
  <si>
    <t>ทุกเช้า</t>
  </si>
  <si>
    <t>View + Print + Sign</t>
  </si>
  <si>
    <t>วันที่, หมายเลขห้อง, Status การเข้าพัก (IN/OUT/STAY/OUT OF ORDER), ช่องเช็คการทำความสะอาด, หมายเหตุ, ลงชื่อผู้ปฎิบัติงาน</t>
  </si>
  <si>
    <t>ใบรายงานแจ้งซ่อม
(Repair Request Form)</t>
  </si>
  <si>
    <t>เอกสารบำรุงรักษา/แจ้งซ่อม</t>
  </si>
  <si>
    <t>เมื่อได้รับการแจ้งซ่อม</t>
  </si>
  <si>
    <t>วันที่, หมายเลขห้อง, Status การเข้าพัก (IN/OUT/STAY/OUT OF ORDER), ช่องเช็คการการซ่อมเรียบร้อย, รายละเอียด, หมายเหตุ, ลงชื่อผู้ปฎิบัติงาน</t>
  </si>
  <si>
    <t>รายงานยอดมัดจำ (ข้อมูลวันที่ 14 กันยายน 2569)</t>
  </si>
  <si>
    <t xml:space="preserve">เลขห้อง, วันเวลาเช็คเอ้า, Status การเข้าพัก (IN/OUT/STAY/OUT OF ORDER), จำนวนวันเข้าพัก,จำนวนผู้เข้าพัก, ประเภทห้อง,โน๊ต,  </t>
  </si>
  <si>
    <t>ประเภท (Filter)</t>
  </si>
  <si>
    <t>หน่วยงาน/ทั่วไป</t>
  </si>
  <si>
    <t>หัวหน้าแม่บ้าน, พนักงานหน้าเคาน์เตอร์</t>
  </si>
  <si>
    <t>total item :</t>
  </si>
  <si>
    <t>วันที่ทำการจอง</t>
  </si>
  <si>
    <t>ยอดเต็มจำนวน</t>
  </si>
  <si>
    <t>ยอดค้างชำระ</t>
  </si>
  <si>
    <t>total amount :</t>
  </si>
  <si>
    <t>รายงานเตียงเสริม
(Extra-Bed Report)</t>
  </si>
  <si>
    <t>Booking, Guest Name, Room, Arrival, Departure, Date</t>
  </si>
  <si>
    <t>พนักงานหน้าเคาน์เตอร์,
แอดมิน,หัวหน้าแม่บ้าน</t>
  </si>
  <si>
    <t>รายงานการโอนระหว่างหน่วยงาน
(ERP Report)</t>
  </si>
  <si>
    <t>วันที่, ช่วงวัน, รหัสหน่วยงาน, ชื่อหน่วยงาน, ยอดค้างชำระ</t>
  </si>
  <si>
    <t>เลขบุ๊คกิ้ง, หมายเลขห้อง, รหัสหน่วยงาน, ชื่อหน่วยงาน, จำนวนวันเข้าพัก, ราคา, ราคารวม, ทำเรื่องแจ้งหนี้, ยอดค้างชำระ</t>
  </si>
  <si>
    <t>รายสัปดาห์/รายเดือน/ตามต้องการ</t>
  </si>
  <si>
    <t>แอดมิน, ฝ่ายบัญชี</t>
  </si>
  <si>
    <t>รายงานวัสดุสิ้นเปลื้อง
(Supplies Report)</t>
  </si>
  <si>
    <t>วันที่, รายการของใช้, จำนวนของใช้, จำนวนที่ใช้, คงเหลือ, วันที่เติมของใช้ล่าสุด</t>
  </si>
  <si>
    <t>รายงานห้องชำรุด/บำรุงรักษา
(Out of Service-Room Report)</t>
  </si>
  <si>
    <t>รายงานบำรุงรักษา</t>
  </si>
  <si>
    <t>วันที่, หมายเลขห้อง, 
ประเภทงาน (ไฟฟ้า ประปา อื่นๆ), 
รายละเอียดการซ่อม, จำนวนครั้งที่ซ่อม</t>
  </si>
  <si>
    <t>พนักงานหน้าเคาน์เตอร์,
แอดมิน,หัวหน้าแม่บ้าน,ช่าง</t>
  </si>
  <si>
    <t>รายการค่าปรับ/ค่ายืมอุปกรณ์เพิ่มเติม
(Additional Charges Report)</t>
  </si>
  <si>
    <t>วันที่, ช่วงวัน, รายการอุปกรณ์</t>
  </si>
  <si>
    <t xml:space="preserve">วันที่, รายการ, จำนวน, หน่วย, ราคา, เลขบุ๊คกิ้ง
</t>
  </si>
  <si>
    <t>รายงานผู้จัดการ</t>
  </si>
  <si>
    <t>รายงานอาหารเช้า (Breakfast Report)</t>
  </si>
  <si>
    <t>รายงานการเข้าพัก  (Occupancy Report)</t>
  </si>
  <si>
    <t>วันที่ 14 กันยาเป็นต้นไป 
(7 วัน)</t>
  </si>
  <si>
    <t>จำนวนห้องทั้งหมด</t>
  </si>
  <si>
    <t>จำนวนห้องที่มีผู้พักทั้งหมด</t>
  </si>
  <si>
    <t xml:space="preserve">Deluxe </t>
  </si>
  <si>
    <t>จำนวนห้องว่าง</t>
  </si>
  <si>
    <t>จำนวนห้องที่จองแล้ว</t>
  </si>
  <si>
    <t>ห้องปิดใช้งาน</t>
  </si>
  <si>
    <t>Arriral</t>
  </si>
  <si>
    <t>Departures</t>
  </si>
  <si>
    <t>USER</t>
  </si>
  <si>
    <t>จำนวน ชุด 100</t>
  </si>
  <si>
    <t>จำนวน ชุด 200</t>
  </si>
  <si>
    <t>x</t>
  </si>
  <si>
    <t>รายงานการโอนระหว่างหน่วยงาน (ERP Report)</t>
  </si>
  <si>
    <t>วันที่ / ช่วงวันที่ (Filter)</t>
  </si>
  <si>
    <t>12 - 13 กันยายน 2569</t>
  </si>
  <si>
    <t>รหัสหน่วยงาน (Filter)</t>
  </si>
  <si>
    <t>ทั้งหมด</t>
  </si>
  <si>
    <t>ชื่อหน่วยงาน</t>
  </si>
  <si>
    <t>รหัส ERP</t>
  </si>
  <si>
    <t>ราคา</t>
  </si>
  <si>
    <t>comment</t>
  </si>
  <si>
    <t>สำนักงานเลขานุการ คณะวิศวกรรมศาสตร์</t>
  </si>
  <si>
    <t>BXXXXXXXXX</t>
  </si>
  <si>
    <t>รายงานแม่บ้าน (Housekeeping Report)</t>
  </si>
  <si>
    <t>ภาควิชาจิตวิทยา คณะสังคมศาสตร์</t>
  </si>
  <si>
    <t>ภาควิชาประวัติศาสตร์ คณะสังคมศาสตร์</t>
  </si>
  <si>
    <t>Date</t>
  </si>
  <si>
    <t>ภาควิชากีฏวิทยา คณะเกษตร กำแพงแสน</t>
  </si>
  <si>
    <t>KXXXXXXXXX</t>
  </si>
  <si>
    <t>สำนักหอสมุด กำแพงแสน</t>
  </si>
  <si>
    <t>สำนักเลขานุการ คณะวิทยาศาสตร์</t>
  </si>
  <si>
    <t>สำนักเลขานุการ คณะเศรษศาสตร์ ศรีราชา</t>
  </si>
  <si>
    <t>SXXXXXXXXX</t>
  </si>
  <si>
    <t>ศูนย์นวัตกรรมวัสดุ คณะวิศวกรรมศาสตร์</t>
  </si>
  <si>
    <t>Room</t>
  </si>
  <si>
    <t>ฝ่ายสารสนเทศ สำนักบริการคอมพิวเตอร์</t>
  </si>
  <si>
    <t>Room Status</t>
  </si>
  <si>
    <t>Room Status
Detail</t>
  </si>
  <si>
    <t>House Status</t>
  </si>
  <si>
    <t>Arrival</t>
  </si>
  <si>
    <t>Departure</t>
  </si>
  <si>
    <t>Nigth</t>
  </si>
  <si>
    <t>Housekeeping Note</t>
  </si>
  <si>
    <t>สำนักงานนวัตกรรมและพันธกิจเพื่อสังคม</t>
  </si>
  <si>
    <t>Occupied</t>
  </si>
  <si>
    <t>สำนักเลขานุการ คณะประมง</t>
  </si>
  <si>
    <t xml:space="preserve">Dirty </t>
  </si>
  <si>
    <t>สถานีวิจัยเพื่อการพัฒนาชายฝั่งอันดามัน</t>
  </si>
  <si>
    <t>Vacant</t>
  </si>
  <si>
    <t xml:space="preserve">Arrival / Due In / Vacant Dirty </t>
  </si>
  <si>
    <t>Clean</t>
  </si>
  <si>
    <t>Out of Order</t>
  </si>
  <si>
    <t>Inspected</t>
  </si>
  <si>
    <t>Due Out</t>
  </si>
  <si>
    <t>ห้องว่างและไม่มีเข้าพัก</t>
  </si>
  <si>
    <t>ปิดซ่อม</t>
  </si>
  <si>
    <t>Room Number</t>
  </si>
  <si>
    <t>Room Type</t>
  </si>
  <si>
    <t>Night</t>
  </si>
  <si>
    <t>Superior Twin</t>
  </si>
  <si>
    <t xml:space="preserve">🟢 IN </t>
  </si>
  <si>
    <t xml:space="preserve">🔴 OUT </t>
  </si>
  <si>
    <t xml:space="preserve">🟡 Stay </t>
  </si>
  <si>
    <t xml:space="preserve">⚫Out of Order </t>
  </si>
  <si>
    <t>Deluxe Twin</t>
  </si>
  <si>
    <t>Deluxe Triple</t>
  </si>
  <si>
    <t>Superior Kingsize</t>
  </si>
  <si>
    <t>Deluxe Kingsize</t>
  </si>
  <si>
    <t xml:space="preserve">รายงานสถานะห้องพัก (Real-time Room Status) </t>
  </si>
  <si>
    <t>ข้อมูลอัพเดต : 11/9/2569 เวลา 17.49 น.</t>
  </si>
  <si>
    <t>สถานะ (Filter)</t>
  </si>
  <si>
    <t>ทุกสถานะ</t>
  </si>
  <si>
    <t>Status</t>
  </si>
  <si>
    <t>ชื่อผู้เข้าพัก</t>
  </si>
  <si>
    <t>Note</t>
  </si>
  <si>
    <t>OCC</t>
  </si>
  <si>
    <t>สมชาย ใจงาม</t>
  </si>
  <si>
    <t>-</t>
  </si>
  <si>
    <t>OCC = Occupied / แขกพักอยู่</t>
  </si>
  <si>
    <t>สมบูรณ์ ใจดี, สิริวรรณ ใจดี</t>
  </si>
  <si>
    <t>OOO = Out of order / ห้องชำรุด ปรับปรุง</t>
  </si>
  <si>
    <t>ดวงใจ ต้นไม้</t>
  </si>
  <si>
    <t>VC = Vacant Clean / ห้องว่าง (ทำห้องแล้ว)</t>
  </si>
  <si>
    <t>พงศกร นวมินทร์</t>
  </si>
  <si>
    <t>VD = Vacant Dirty / ห้องว่าง (ยังไม่ได้ทำ)</t>
  </si>
  <si>
    <t>ธวัชชัย เกิดกล้า, ธงชัย เกิดกล้า</t>
  </si>
  <si>
    <t>EA = Expected Arrival / ห้องที่แขกเตรียมเข้าวันนี้</t>
  </si>
  <si>
    <t>EA</t>
  </si>
  <si>
    <t>ยุวดี เห็นชอบ</t>
  </si>
  <si>
    <t>VIP = Very important person / ห้องผู้บริหาร</t>
  </si>
  <si>
    <t>VIP</t>
  </si>
  <si>
    <t>VC</t>
  </si>
  <si>
    <t>พหลโยธิน ผดุงรัฐ</t>
  </si>
  <si>
    <t>ถนอม ธนะบูรณ์, สฤษดิ์ กิตติเดช</t>
  </si>
  <si>
    <t>ชาติชาย อภัยวงค์, ผิณ พิบูลราษฎร์</t>
  </si>
  <si>
    <t>สัญญา ธรรมจักร</t>
  </si>
  <si>
    <t>ประยูร ภมรดนตรี</t>
  </si>
  <si>
    <t>OOO</t>
  </si>
  <si>
    <t>ปรับปรุงห้องน้ำ</t>
  </si>
  <si>
    <t>เครื่องปรับอากาศชำรุด</t>
  </si>
  <si>
    <t>VD</t>
  </si>
  <si>
    <t>รายงานเตียงเสริม (Extra-Bed Report)</t>
  </si>
  <si>
    <t>From</t>
  </si>
  <si>
    <t>To</t>
  </si>
  <si>
    <t>Booking</t>
  </si>
  <si>
    <t>Guest Name</t>
  </si>
  <si>
    <t>คุณxxxx</t>
  </si>
  <si>
    <t>Tatal Allocated</t>
  </si>
  <si>
    <t>Total Inventory</t>
  </si>
  <si>
    <t>Balance</t>
  </si>
  <si>
    <t>รายงานวัสดุสิ้นเปลื้อง (Supplies Report)</t>
  </si>
  <si>
    <t>ช่วงเวลา</t>
  </si>
  <si>
    <t>15-17 กันยายน 2569</t>
  </si>
  <si>
    <t>แผนกสินค้า</t>
  </si>
  <si>
    <t>หมวดหมู่</t>
  </si>
  <si>
    <t>คำอธิบาย</t>
  </si>
  <si>
    <t>สีเขียว=ปกติ สีแดง=ใกล้หมด สีส้ม =ใกล้จะซื้อ</t>
  </si>
  <si>
    <t>รหัสสินค้า</t>
  </si>
  <si>
    <t>ชื่อสินค้า</t>
  </si>
  <si>
    <t>หน่วยนับ</t>
  </si>
  <si>
    <t>ยอดยกมา</t>
  </si>
  <si>
    <t>รับเข้า</t>
  </si>
  <si>
    <t>เบิกจ่าย</t>
  </si>
  <si>
    <t>คงเหลือ</t>
  </si>
  <si>
    <t>จุดสั่งชื้อ</t>
  </si>
  <si>
    <t>สต็อกสูงสุด</t>
  </si>
  <si>
    <t>สเตตัส</t>
  </si>
  <si>
    <t>xxxx</t>
  </si>
  <si>
    <t>Guest Amenities</t>
  </si>
  <si>
    <t>น้ำดื่ม</t>
  </si>
  <si>
    <t>ขวด</t>
  </si>
  <si>
    <t>ปกติ</t>
  </si>
  <si>
    <t>หมวกคลุมผม</t>
  </si>
  <si>
    <t>ชิ้น</t>
  </si>
  <si>
    <t>สั้งซื้อ</t>
  </si>
  <si>
    <t>Linen and Bedding</t>
  </si>
  <si>
    <t>ผ้าเช็คตัว</t>
  </si>
  <si>
    <t>ผืน</t>
  </si>
  <si>
    <t>ผ้าเช็คผม</t>
  </si>
  <si>
    <t>ปลอกผ้าหนวม 6 ฟุต</t>
  </si>
  <si>
    <t>ปลอกผ้าหนวม 3.5 ฟุต</t>
  </si>
  <si>
    <t xml:space="preserve">ปลอกหมอน </t>
  </si>
  <si>
    <t>ผ้าปู 6 ฟุต</t>
  </si>
  <si>
    <t xml:space="preserve">Grand Tatal </t>
  </si>
  <si>
    <t xml:space="preserve">                 </t>
  </si>
  <si>
    <t>รายงานห้องชำรุด/บำรุงรักษา (Out of Service-Room Report)</t>
  </si>
  <si>
    <t>รายการ</t>
  </si>
  <si>
    <t>วันที่แจ้งซ่อม</t>
  </si>
  <si>
    <t xml:space="preserve"> หมายเลขห้อง</t>
  </si>
  <si>
    <t>ประเภทงาน</t>
  </si>
  <si>
    <t>รายละเอียดการซ่อม</t>
  </si>
  <si>
    <t xml:space="preserve"> วันที่แก้ไขเสร็จ</t>
  </si>
  <si>
    <t>ระยะเวลาการซ่อม (วัน)</t>
  </si>
  <si>
    <t>ไฟฟ้า</t>
  </si>
  <si>
    <t>เปลี่ยนหลอดไฟ</t>
  </si>
  <si>
    <t>ประปา</t>
  </si>
  <si>
    <t>ก็อกน้ำรั่ว</t>
  </si>
  <si>
    <t>งานระบบ</t>
  </si>
  <si>
    <t>มอเตอร์ไม่ทำงาน</t>
  </si>
  <si>
    <t>ช่องเสียบคีย์แท็ก</t>
  </si>
  <si>
    <t>ไฟดับ</t>
  </si>
  <si>
    <t>ก็อกน้ำ</t>
  </si>
  <si>
    <t>ฝักบัว (น้ำไหลเบา)</t>
  </si>
  <si>
    <t>ทาสีประตูห้องพัก</t>
  </si>
  <si>
    <t>รายการค่าปรับ/ขออุปกรณ์เพิ่มเติม (Additional Charges Report)</t>
  </si>
  <si>
    <t>วันที่ทำรายการ</t>
  </si>
  <si>
    <t>รหัสรายการ</t>
  </si>
  <si>
    <t>จำนวน</t>
  </si>
  <si>
    <t>หน่วย</t>
  </si>
  <si>
    <t xml:space="preserve">ค่าเสียหาย ปลอกผ้าหนวม </t>
  </si>
  <si>
    <t>จุด</t>
  </si>
  <si>
    <t>ค่าเสียหาย ปลอกหมอก</t>
  </si>
  <si>
    <t>ค่าเสียหาย กุญแจ</t>
  </si>
  <si>
    <t>ดอก</t>
  </si>
  <si>
    <t>ค่าเสียหาย ปลอกหมอน</t>
  </si>
  <si>
    <t>ค่ายืม หมอน</t>
  </si>
  <si>
    <t>ใบ</t>
  </si>
  <si>
    <t>รายงานผู้จัดการ (Manager's Report)(Status)</t>
  </si>
  <si>
    <t xml:space="preserve"> Complete, Week, Month(Filter)</t>
  </si>
  <si>
    <t>ถ้าเลือกเดือนจะมีให้เลือกช่วงเวลาได้</t>
  </si>
  <si>
    <t>Form</t>
  </si>
  <si>
    <t>TO</t>
  </si>
  <si>
    <t>*** ตัวอย่างแบบ  Complete</t>
  </si>
  <si>
    <t>Day
9 กันยายน 69</t>
  </si>
  <si>
    <t>Month to Date
1 กันยายน 69 - 9 กันยายน 69</t>
  </si>
  <si>
    <t>Year to Date
1 มกราคม 69 - 9 กันยายน 69</t>
  </si>
  <si>
    <t>LY Same Date
9 กันยายน 68</t>
  </si>
  <si>
    <t>LY Same Date
1 กันยายน 68 - 9 กันยายน 68</t>
  </si>
  <si>
    <t>LY Same Date
1 มกราคม 68 - 9 กันยายน 68</t>
  </si>
  <si>
    <t>Total Persons</t>
  </si>
  <si>
    <t>Total Rooms</t>
  </si>
  <si>
    <t>Room Occupied</t>
  </si>
  <si>
    <t>Comfirmed</t>
  </si>
  <si>
    <t>Provisisional</t>
  </si>
  <si>
    <t>Unsold Rooms</t>
  </si>
  <si>
    <t>Unsold Rooms+Prov</t>
  </si>
  <si>
    <t>%Occupied</t>
  </si>
  <si>
    <t>%Occ+Comf+Prov</t>
  </si>
  <si>
    <t>Complimentary Room</t>
  </si>
  <si>
    <t>Out of Order Room</t>
  </si>
  <si>
    <t>Total Rooms-OOO</t>
  </si>
  <si>
    <t>Avail Rooms-OOO</t>
  </si>
  <si>
    <t>%Occupied-OOO</t>
  </si>
  <si>
    <t>Arrival Rooms</t>
  </si>
  <si>
    <t>Arrival Persons</t>
  </si>
  <si>
    <t>Depart Rooms</t>
  </si>
  <si>
    <t>Depart Persons</t>
  </si>
  <si>
    <t>No Show Rooms</t>
  </si>
  <si>
    <t>No Show Persons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</si>
</sst>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/m/yy"/>
    <numFmt numFmtId="166" formatCode="dd/mm"/>
  </numFmts>
  <fonts count="26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sz val="16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14.0"/>
      <color rgb="FF1F4E78"/>
      <name val="Arial"/>
    </font>
    <font>
      <sz val="14.0"/>
      <color theme="1"/>
      <name val="Arial"/>
    </font>
    <font>
      <i/>
      <sz val="14.0"/>
      <color rgb="FF7F7F7F"/>
      <name val="Arial"/>
    </font>
    <font>
      <b/>
      <sz val="14.0"/>
      <color theme="1"/>
      <name val="Arial"/>
    </font>
    <font>
      <b/>
      <sz val="15.0"/>
      <color theme="1"/>
      <name val="Calibri"/>
      <scheme val="minor"/>
    </font>
    <font>
      <sz val="15.0"/>
      <color theme="1"/>
      <name val="Calibri"/>
      <scheme val="minor"/>
    </font>
    <font>
      <sz val="14.0"/>
      <color theme="1"/>
      <name val="Calibri"/>
      <scheme val="minor"/>
    </font>
    <font>
      <b/>
      <sz val="14.0"/>
      <color rgb="FF6AA84F"/>
      <name val="Calibri"/>
      <scheme val="minor"/>
    </font>
    <font>
      <sz val="15.0"/>
      <color rgb="FF000000"/>
      <name val="Calibri"/>
      <scheme val="minor"/>
    </font>
    <font>
      <sz val="16.0"/>
      <color rgb="FFFF0000"/>
      <name val="Calibri"/>
      <scheme val="minor"/>
    </font>
    <font>
      <b/>
      <sz val="14.0"/>
      <color theme="1"/>
      <name val="Calibri"/>
      <scheme val="minor"/>
    </font>
    <font/>
    <font>
      <sz val="16.0"/>
      <color rgb="FF000000"/>
      <name val="Calibri"/>
      <scheme val="minor"/>
    </font>
    <font>
      <sz val="16.0"/>
      <color rgb="FF6D9EEB"/>
      <name val="Calibri"/>
      <scheme val="minor"/>
    </font>
    <font>
      <b/>
      <sz val="14.0"/>
      <color rgb="FF6CA751"/>
      <name val="Calibri"/>
      <scheme val="minor"/>
    </font>
    <font>
      <sz val="16.0"/>
      <color rgb="FFCCCCCC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6.0"/>
      <color rgb="FF1155CC"/>
      <name val="Calibri"/>
      <scheme val="minor"/>
    </font>
    <font>
      <b/>
      <sz val="16.0"/>
      <color rgb="FF000000"/>
      <name val="Calibri"/>
      <scheme val="minor"/>
    </font>
    <font>
      <b/>
      <sz val="16.0"/>
      <color rgb="FFFF0000"/>
      <name val="Calibri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F6F8F9"/>
        <bgColor rgb="FFF6F8F9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CADAF7"/>
        <bgColor rgb="FFCADAF7"/>
      </patternFill>
    </fill>
    <fill>
      <patternFill patternType="solid">
        <fgColor rgb="FFCBDAF6"/>
        <bgColor rgb="FFCBDAF6"/>
      </patternFill>
    </fill>
    <fill>
      <patternFill patternType="solid">
        <fgColor rgb="FFCCDAF5"/>
        <bgColor rgb="FFCCDAF5"/>
      </patternFill>
    </fill>
    <fill>
      <patternFill patternType="solid">
        <fgColor rgb="FFCDDAF4"/>
        <bgColor rgb="FFCDDAF4"/>
      </patternFill>
    </fill>
    <fill>
      <patternFill patternType="solid">
        <fgColor rgb="FFCEDAF3"/>
        <bgColor rgb="FFCEDAF3"/>
      </patternFill>
    </fill>
    <fill>
      <patternFill patternType="solid">
        <fgColor rgb="FFCFDAF3"/>
        <bgColor rgb="FFCFDAF3"/>
      </patternFill>
    </fill>
    <fill>
      <patternFill patternType="solid">
        <fgColor rgb="FFFF9A32"/>
        <bgColor rgb="FFFF9A32"/>
      </patternFill>
    </fill>
    <fill>
      <patternFill patternType="solid">
        <fgColor rgb="FFF4CCCC"/>
        <bgColor rgb="FFF4CCCC"/>
      </patternFill>
    </fill>
    <fill>
      <patternFill patternType="solid">
        <fgColor rgb="FFC2FFE0"/>
        <bgColor rgb="FFC2FFE0"/>
      </patternFill>
    </fill>
    <fill>
      <patternFill patternType="solid">
        <fgColor rgb="FFCAC6C3"/>
        <bgColor rgb="FFCAC6C3"/>
      </patternFill>
    </fill>
    <fill>
      <patternFill patternType="solid">
        <fgColor rgb="FFE4C6F3"/>
        <bgColor rgb="FFE4C6F3"/>
      </patternFill>
    </fill>
    <fill>
      <patternFill patternType="solid">
        <fgColor rgb="FFD2F89E"/>
        <bgColor rgb="FFD2F89E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29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9D9D9"/>
      </top>
      <bottom style="thin">
        <color rgb="FFD9D9D9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000000"/>
      </bottom>
    </border>
    <border>
      <left style="thin">
        <color rgb="FFD9D9D9"/>
      </lef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000000"/>
      </bottom>
    </border>
    <border>
      <left style="thin">
        <color rgb="FFD9D9D9"/>
      </left>
      <bottom style="thin">
        <color rgb="FF000000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</border>
  </borders>
  <cellStyleXfs count="1">
    <xf borderId="0" fillId="0" fontId="0" numFmtId="0" applyAlignment="1" applyFont="1"/>
  </cellStyleXfs>
  <cellXfs count="3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readingOrder="0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2" fillId="2" fontId="1" numFmtId="0" xfId="0" applyAlignment="1" applyBorder="1" applyFill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0" fillId="0" fontId="4" numFmtId="0" xfId="0" applyFont="1"/>
    <xf borderId="3" fillId="3" fontId="1" numFmtId="0" xfId="0" applyAlignment="1" applyBorder="1" applyFill="1" applyFon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6" numFmtId="0" xfId="0" applyFont="1"/>
    <xf borderId="4" fillId="3" fontId="1" numFmtId="0" xfId="0" applyAlignment="1" applyBorder="1" applyFill="1" applyFont="1">
      <alignment horizontal="center" readingOrder="0" vertical="center"/>
    </xf>
    <xf borderId="0" fillId="0" fontId="7" numFmtId="0" xfId="0" applyFont="1"/>
    <xf borderId="5" fillId="3" fontId="1" numFmtId="0" xfId="0" applyAlignment="1" applyBorder="1" applyFill="1" applyFont="1">
      <alignment horizontal="center" readingOrder="0" vertical="center"/>
    </xf>
    <xf borderId="4" fillId="4" fontId="1" numFmtId="0" xfId="0" applyAlignment="1" applyBorder="1" applyFill="1" applyFont="1">
      <alignment horizontal="center" readingOrder="0" vertical="center"/>
    </xf>
    <xf borderId="6" fillId="5" fontId="1" numFmtId="0" xfId="0" applyAlignment="1" applyBorder="1" applyFill="1" applyFont="1">
      <alignment horizontal="left" readingOrder="0" vertical="center"/>
    </xf>
    <xf borderId="0" fillId="5" fontId="2" numFmtId="0" xfId="0" applyAlignment="1" applyFill="1" applyFont="1">
      <alignment horizontal="center" readingOrder="0" shrinkToFit="0" vertical="center" wrapText="1"/>
    </xf>
    <xf borderId="5" fillId="4" fontId="1" numFmtId="0" xfId="0" applyAlignment="1" applyBorder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/>
    </xf>
    <xf borderId="6" fillId="5" fontId="2" numFmtId="0" xfId="0" applyAlignment="1" applyBorder="1" applyFill="1" applyFont="1">
      <alignment horizontal="center" readingOrder="0"/>
    </xf>
    <xf borderId="7" fillId="5" fontId="3" numFmtId="0" xfId="0" applyBorder="1" applyFill="1" applyFont="1"/>
    <xf borderId="0" fillId="0" fontId="8" numFmtId="0" xfId="0" applyAlignment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7" fillId="0" fontId="3" numFmtId="0" xfId="0" applyAlignment="1" applyBorder="1" applyFont="1">
      <alignment vertical="center"/>
    </xf>
    <xf borderId="6" fillId="0" fontId="2" numFmtId="0" xfId="0" applyAlignment="1" applyBorder="1" applyFont="1">
      <alignment horizontal="center" readingOrder="0"/>
    </xf>
    <xf borderId="1" fillId="0" fontId="9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vertical="center"/>
    </xf>
    <xf borderId="10" fillId="0" fontId="2" numFmtId="164" xfId="0" applyAlignment="1" applyBorder="1" applyFont="1" applyNumberFormat="1">
      <alignment horizontal="center" readingOrder="0" shrinkToFit="0" vertical="center" wrapText="1"/>
    </xf>
    <xf borderId="9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2" numFmtId="0" xfId="0" applyAlignment="1" applyFont="1">
      <alignment horizontal="center" readingOrder="0"/>
    </xf>
    <xf borderId="1" fillId="2" fontId="12" numFmtId="0" xfId="0" applyAlignment="1" applyBorder="1" applyFill="1" applyFont="1">
      <alignment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7" fillId="0" fontId="3" numFmtId="0" xfId="0" applyBorder="1" applyFont="1"/>
    <xf borderId="1" fillId="2" fontId="11" numFmtId="0" xfId="0" applyAlignment="1" applyBorder="1" applyFill="1" applyFont="1">
      <alignment shrinkToFit="0" vertical="center" wrapText="1"/>
    </xf>
    <xf borderId="1" fillId="2" fontId="11" numFmtId="0" xfId="0" applyAlignment="1" applyBorder="1" applyFill="1" applyFont="1">
      <alignment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/>
    </xf>
    <xf borderId="1" fillId="2" fontId="11" numFmtId="0" xfId="0" applyAlignment="1" applyBorder="1" applyFill="1" applyFont="1">
      <alignment shrinkToFit="0" vertical="center" wrapText="1"/>
    </xf>
    <xf borderId="7" fillId="0" fontId="2" numFmtId="0" xfId="0" applyAlignment="1" applyBorder="1" applyFont="1">
      <alignment horizontal="center"/>
    </xf>
    <xf borderId="1" fillId="6" fontId="6" numFmtId="0" xfId="0" applyAlignment="1" applyBorder="1" applyFill="1" applyFont="1">
      <alignment readingOrder="0" shrinkToFit="0" vertical="center" wrapText="1"/>
    </xf>
    <xf borderId="6" fillId="5" fontId="14" numFmtId="0" xfId="0" applyAlignment="1" applyBorder="1" applyFill="1" applyFont="1">
      <alignment horizontal="left" readingOrder="0"/>
    </xf>
    <xf borderId="0" fillId="5" fontId="2" numFmtId="0" xfId="0" applyAlignment="1" applyFill="1" applyFont="1">
      <alignment horizontal="center"/>
    </xf>
    <xf borderId="1" fillId="6" fontId="6" numFmtId="0" xfId="0" applyAlignment="1" applyBorder="1" applyFill="1" applyFont="1">
      <alignment shrinkToFit="0" vertical="center" wrapText="1"/>
    </xf>
    <xf borderId="7" fillId="5" fontId="2" numFmtId="0" xfId="0" applyAlignment="1" applyBorder="1" applyFill="1" applyFont="1">
      <alignment horizontal="center"/>
    </xf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/>
    </xf>
    <xf borderId="1" fillId="5" fontId="12" numFmtId="0" xfId="0" applyAlignment="1" applyBorder="1" applyFill="1" applyFont="1">
      <alignment readingOrder="0" shrinkToFit="0" vertical="center" wrapText="1"/>
    </xf>
    <xf borderId="1" fillId="5" fontId="9" numFmtId="0" xfId="0" applyAlignment="1" applyBorder="1" applyFill="1" applyFont="1">
      <alignment readingOrder="0" shrinkToFit="0" vertical="center" wrapText="1"/>
    </xf>
    <xf borderId="11" fillId="0" fontId="2" numFmtId="0" xfId="0" applyAlignment="1" applyBorder="1" applyFont="1">
      <alignment horizontal="center"/>
    </xf>
    <xf borderId="1" fillId="5" fontId="11" numFmtId="0" xfId="0" applyAlignment="1" applyBorder="1" applyFill="1" applyFont="1">
      <alignment shrinkToFit="0" vertical="center" wrapText="1"/>
    </xf>
    <xf borderId="1" fillId="5" fontId="10" numFmtId="0" xfId="0" applyAlignment="1" applyBorder="1" applyFill="1" applyFont="1">
      <alignment readingOrder="0" shrinkToFit="0" vertical="center" wrapText="1"/>
    </xf>
    <xf borderId="1" fillId="5" fontId="11" numFmtId="0" xfId="0" applyAlignment="1" applyBorder="1" applyFill="1" applyFont="1">
      <alignment readingOrder="0" shrinkToFit="0" vertical="center" wrapText="1"/>
    </xf>
    <xf borderId="1" fillId="5" fontId="10" numFmtId="0" xfId="0" applyAlignment="1" applyBorder="1" applyFill="1" applyFont="1">
      <alignment readingOrder="0" shrinkToFit="0" vertical="center" wrapText="1"/>
    </xf>
    <xf borderId="1" fillId="5" fontId="11" numFmtId="0" xfId="0" applyAlignment="1" applyBorder="1" applyFill="1" applyFont="1">
      <alignment shrinkToFit="0" vertical="center" wrapText="1"/>
    </xf>
    <xf borderId="1" fillId="5" fontId="13" numFmtId="0" xfId="0" applyAlignment="1" applyBorder="1" applyFill="1" applyFont="1">
      <alignment readingOrder="0" shrinkToFit="0" vertical="center" wrapText="1"/>
    </xf>
    <xf borderId="0" fillId="2" fontId="6" numFmtId="0" xfId="0" applyFill="1" applyFont="1"/>
    <xf borderId="1" fillId="5" fontId="15" numFmtId="0" xfId="0" applyAlignment="1" applyBorder="1" applyFill="1" applyFont="1">
      <alignment readingOrder="0" shrinkToFit="0" vertical="center" wrapText="1"/>
    </xf>
    <xf borderId="12" fillId="2" fontId="1" numFmtId="0" xfId="0" applyAlignment="1" applyBorder="1" applyFill="1" applyFont="1">
      <alignment horizontal="left" readingOrder="0" shrinkToFit="0" vertical="center" wrapText="1"/>
    </xf>
    <xf borderId="13" fillId="0" fontId="16" numFmtId="0" xfId="0" applyBorder="1" applyFont="1"/>
    <xf borderId="1" fillId="2" fontId="15" numFmtId="0" xfId="0" applyAlignment="1" applyBorder="1" applyFill="1" applyFont="1">
      <alignment readingOrder="0" shrinkToFit="0" vertical="center" wrapText="1"/>
    </xf>
    <xf borderId="1" fillId="2" fontId="10" numFmtId="0" xfId="0" applyAlignment="1" applyBorder="1" applyFill="1" applyFont="1">
      <alignment readingOrder="0" shrinkToFit="0" vertical="center" wrapText="1"/>
    </xf>
    <xf borderId="12" fillId="0" fontId="2" numFmtId="164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shrinkToFit="0" vertical="center" wrapText="1"/>
    </xf>
    <xf borderId="4" fillId="7" fontId="1" numFmtId="0" xfId="0" applyAlignment="1" applyBorder="1" applyFill="1" applyFont="1">
      <alignment horizontal="center" readingOrder="0" vertical="center"/>
    </xf>
    <xf borderId="4" fillId="7" fontId="1" numFmtId="0" xfId="0" applyAlignment="1" applyBorder="1" applyFill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vertical="center"/>
    </xf>
    <xf borderId="0" fillId="0" fontId="2" numFmtId="20" xfId="0" applyAlignment="1" applyFont="1" applyNumberForma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7" fillId="0" fontId="18" numFmtId="0" xfId="0" applyAlignment="1" applyBorder="1" applyFont="1">
      <alignment horizontal="center" readingOrder="0" vertical="center"/>
    </xf>
    <xf borderId="0" fillId="8" fontId="2" numFmtId="165" xfId="0" applyAlignment="1" applyFill="1" applyFont="1" applyNumberFormat="1">
      <alignment horizontal="center" readingOrder="0" vertical="center"/>
    </xf>
    <xf borderId="0" fillId="8" fontId="2" numFmtId="20" xfId="0" applyAlignment="1" applyFill="1" applyFont="1" applyNumberFormat="1">
      <alignment horizontal="center" readingOrder="0" vertical="center"/>
    </xf>
    <xf borderId="0" fillId="8" fontId="2" numFmtId="0" xfId="0" applyAlignment="1" applyFill="1" applyFont="1">
      <alignment horizontal="center" readingOrder="0" vertical="center"/>
    </xf>
    <xf borderId="1" fillId="8" fontId="2" numFmtId="164" xfId="0" applyAlignment="1" applyBorder="1" applyFill="1" applyFont="1" applyNumberFormat="1">
      <alignment horizontal="center" readingOrder="0" shrinkToFit="0" vertical="center" wrapText="1"/>
    </xf>
    <xf borderId="1" fillId="5" fontId="10" numFmtId="0" xfId="0" applyAlignment="1" applyBorder="1" applyFill="1" applyFont="1">
      <alignment shrinkToFit="0" vertical="center" wrapText="1"/>
    </xf>
    <xf borderId="0" fillId="8" fontId="17" numFmtId="0" xfId="0" applyAlignment="1" applyFill="1" applyFont="1">
      <alignment horizontal="center" readingOrder="0" vertical="center"/>
    </xf>
    <xf borderId="7" fillId="8" fontId="18" numFmtId="0" xfId="0" applyAlignment="1" applyBorder="1" applyFill="1" applyFont="1">
      <alignment horizontal="center" readingOrder="0" vertical="center"/>
    </xf>
    <xf borderId="1" fillId="5" fontId="11" numFmtId="0" xfId="0" applyAlignment="1" applyBorder="1" applyFill="1" applyFont="1">
      <alignment readingOrder="0" shrinkToFit="0" vertical="center" wrapText="1"/>
    </xf>
    <xf borderId="1" fillId="2" fontId="9" numFmtId="0" xfId="0" applyAlignment="1" applyBorder="1" applyFill="1" applyFont="1">
      <alignment readingOrder="0" shrinkToFit="0" vertical="center" wrapText="1"/>
    </xf>
    <xf borderId="1" fillId="2" fontId="10" numFmtId="0" xfId="0" applyAlignment="1" applyBorder="1" applyFill="1" applyFont="1">
      <alignment readingOrder="0" shrinkToFit="0" vertical="center" wrapText="1"/>
    </xf>
    <xf borderId="0" fillId="8" fontId="14" numFmtId="0" xfId="0" applyAlignment="1" applyFill="1" applyFont="1">
      <alignment horizontal="center" readingOrder="0" vertical="center"/>
    </xf>
    <xf borderId="1" fillId="2" fontId="13" numFmtId="0" xfId="0" applyAlignment="1" applyBorder="1" applyFill="1" applyFont="1">
      <alignment readingOrder="0" shrinkToFit="0" vertical="center" wrapText="1"/>
    </xf>
    <xf borderId="1" fillId="2" fontId="10" numFmtId="0" xfId="0" applyAlignment="1" applyBorder="1" applyFill="1" applyFont="1">
      <alignment shrinkToFit="0" vertical="center" wrapText="1"/>
    </xf>
    <xf borderId="9" fillId="8" fontId="2" numFmtId="165" xfId="0" applyAlignment="1" applyBorder="1" applyFill="1" applyFont="1" applyNumberFormat="1">
      <alignment horizontal="center" readingOrder="0" vertical="center"/>
    </xf>
    <xf borderId="9" fillId="8" fontId="2" numFmtId="20" xfId="0" applyAlignment="1" applyBorder="1" applyFill="1" applyFont="1" applyNumberFormat="1">
      <alignment horizontal="center" readingOrder="0" vertical="center"/>
    </xf>
    <xf borderId="9" fillId="8" fontId="2" numFmtId="0" xfId="0" applyAlignment="1" applyBorder="1" applyFill="1" applyFont="1">
      <alignment horizontal="center" readingOrder="0" vertical="center"/>
    </xf>
    <xf borderId="1" fillId="2" fontId="19" numFmtId="0" xfId="0" applyAlignment="1" applyBorder="1" applyFill="1" applyFont="1">
      <alignment readingOrder="0" shrinkToFit="0" vertical="center" wrapText="1"/>
    </xf>
    <xf borderId="10" fillId="8" fontId="2" numFmtId="164" xfId="0" applyAlignment="1" applyBorder="1" applyFill="1" applyFont="1" applyNumberFormat="1">
      <alignment horizontal="center" readingOrder="0" shrinkToFit="0" vertical="center" wrapText="1"/>
    </xf>
    <xf borderId="1" fillId="2" fontId="11" numFmtId="0" xfId="0" applyAlignment="1" applyBorder="1" applyFill="1" applyFont="1">
      <alignment readingOrder="0" shrinkToFit="0" vertical="center" wrapText="1"/>
    </xf>
    <xf borderId="9" fillId="8" fontId="17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shrinkToFit="0" vertical="center" wrapText="1"/>
    </xf>
    <xf borderId="12" fillId="0" fontId="2" numFmtId="164" xfId="0" applyAlignment="1" applyBorder="1" applyFont="1" applyNumberFormat="1">
      <alignment horizontal="left"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1" fillId="8" fontId="18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horizontal="center" readingOrder="0" vertical="center"/>
    </xf>
    <xf borderId="4" fillId="9" fontId="1" numFmtId="0" xfId="0" applyAlignment="1" applyBorder="1" applyFill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1" fillId="10" fontId="19" numFmtId="0" xfId="0" applyAlignment="1" applyBorder="1" applyFill="1" applyFont="1">
      <alignment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5" fontId="19" numFmtId="0" xfId="0" applyAlignment="1" applyBorder="1" applyFill="1" applyFont="1">
      <alignment readingOrder="0" shrinkToFit="0" vertical="center" wrapText="1"/>
    </xf>
    <xf borderId="1" fillId="0" fontId="19" numFmtId="0" xfId="0" applyAlignment="1" applyBorder="1" applyFont="1">
      <alignment readingOrder="0" shrinkToFit="0" vertical="center" wrapText="1"/>
    </xf>
    <xf borderId="1" fillId="5" fontId="12" numFmtId="0" xfId="0" applyAlignment="1" applyBorder="1" applyFill="1" applyFont="1">
      <alignment readingOrder="0" shrinkToFit="0" vertical="center" wrapText="1"/>
    </xf>
    <xf borderId="1" fillId="5" fontId="11" numFmtId="0" xfId="0" applyAlignment="1" applyBorder="1" applyFill="1" applyFont="1">
      <alignment readingOrder="0" shrinkToFit="0" vertical="center" wrapText="1"/>
    </xf>
    <xf borderId="0" fillId="5" fontId="11" numFmtId="0" xfId="0" applyAlignment="1" applyFill="1" applyFont="1">
      <alignment readingOrder="0" shrinkToFit="0" vertical="center" wrapText="1"/>
    </xf>
    <xf borderId="1" fillId="5" fontId="11" numFmtId="0" xfId="0" applyAlignment="1" applyBorder="1" applyFill="1" applyFont="1">
      <alignment readingOrder="0" shrinkToFit="0" vertical="center" wrapText="1"/>
    </xf>
    <xf borderId="1" fillId="6" fontId="6" numFmtId="0" xfId="0" applyAlignment="1" applyBorder="1" applyFill="1" applyFont="1">
      <alignment readingOrder="0" shrinkToFit="0" vertical="center" wrapText="1"/>
    </xf>
    <xf borderId="1" fillId="6" fontId="6" numFmtId="0" xfId="0" applyAlignment="1" applyBorder="1" applyFill="1" applyFont="1">
      <alignment shrinkToFit="0" vertical="center" wrapText="1"/>
    </xf>
    <xf borderId="1" fillId="0" fontId="11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shrinkToFit="0" vertical="top" wrapText="1"/>
    </xf>
    <xf borderId="1" fillId="2" fontId="11" numFmtId="0" xfId="0" applyAlignment="1" applyBorder="1" applyFill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2" fontId="6" numFmtId="0" xfId="0" applyAlignment="1" applyBorder="1" applyFill="1" applyFont="1">
      <alignment shrinkToFit="0" vertical="top" wrapText="1"/>
    </xf>
    <xf borderId="12" fillId="2" fontId="1" numFmtId="0" xfId="0" applyAlignment="1" applyBorder="1" applyFill="1" applyFont="1">
      <alignment horizontal="center" readingOrder="0" shrinkToFit="0" vertical="center" wrapText="1"/>
    </xf>
    <xf borderId="15" fillId="0" fontId="16" numFmtId="0" xfId="0" applyBorder="1" applyFont="1"/>
    <xf borderId="15" fillId="0" fontId="2" numFmtId="164" xfId="0" applyAlignment="1" applyBorder="1" applyFont="1" applyNumberFormat="1">
      <alignment horizontal="left" readingOrder="0" shrinkToFit="0" vertical="center" wrapText="1"/>
    </xf>
    <xf borderId="3" fillId="9" fontId="1" numFmtId="0" xfId="0" applyAlignment="1" applyBorder="1" applyFill="1" applyFont="1">
      <alignment horizontal="center" readingOrder="0" vertical="center"/>
    </xf>
    <xf borderId="13" fillId="0" fontId="2" numFmtId="164" xfId="0" applyAlignment="1" applyBorder="1" applyFont="1" applyNumberFormat="1">
      <alignment horizontal="left" readingOrder="0" shrinkToFit="0" vertical="center" wrapText="1"/>
    </xf>
    <xf borderId="5" fillId="9" fontId="1" numFmtId="0" xfId="0" applyAlignment="1" applyBorder="1" applyFill="1" applyFont="1">
      <alignment horizontal="center" readingOrder="0" vertical="center"/>
    </xf>
    <xf borderId="4" fillId="11" fontId="1" numFmtId="0" xfId="0" applyAlignment="1" applyBorder="1" applyFill="1" applyFont="1">
      <alignment horizontal="center" readingOrder="0" vertical="center"/>
    </xf>
    <xf borderId="6" fillId="0" fontId="2" numFmtId="165" xfId="0" applyAlignment="1" applyBorder="1" applyFont="1" applyNumberForma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8" fontId="20" numFmtId="0" xfId="0" applyAlignment="1" applyFill="1" applyFont="1">
      <alignment horizontal="center" readingOrder="0" vertical="center"/>
    </xf>
    <xf borderId="7" fillId="8" fontId="2" numFmtId="0" xfId="0" applyAlignment="1" applyBorder="1" applyFill="1" applyFont="1">
      <alignment horizontal="center" readingOrder="0" vertical="center"/>
    </xf>
    <xf borderId="7" fillId="0" fontId="17" numFmtId="0" xfId="0" applyAlignment="1" applyBorder="1" applyFont="1">
      <alignment horizontal="center" readingOrder="0" vertical="center"/>
    </xf>
    <xf borderId="7" fillId="0" fontId="20" numFmtId="0" xfId="0" applyAlignment="1" applyBorder="1" applyFont="1">
      <alignment horizontal="center" readingOrder="0" vertical="center"/>
    </xf>
    <xf borderId="6" fillId="8" fontId="2" numFmtId="165" xfId="0" applyAlignment="1" applyBorder="1" applyFill="1" applyFont="1" applyNumberFormat="1">
      <alignment horizontal="center" readingOrder="0" vertical="center"/>
    </xf>
    <xf borderId="7" fillId="8" fontId="20" numFmtId="0" xfId="0" applyAlignment="1" applyBorder="1" applyFill="1" applyFont="1">
      <alignment horizontal="center" readingOrder="0" vertical="center"/>
    </xf>
    <xf borderId="1" fillId="8" fontId="2" numFmtId="0" xfId="0" applyAlignment="1" applyBorder="1" applyFill="1" applyFont="1">
      <alignment horizontal="center" readingOrder="0" shrinkToFit="0" vertical="center" wrapText="1"/>
    </xf>
    <xf borderId="7" fillId="8" fontId="17" numFmtId="0" xfId="0" applyAlignment="1" applyBorder="1" applyFill="1" applyFont="1">
      <alignment horizontal="center" readingOrder="0" vertical="center"/>
    </xf>
    <xf borderId="8" fillId="0" fontId="2" numFmtId="165" xfId="0" applyAlignment="1" applyBorder="1" applyFont="1" applyNumberFormat="1">
      <alignment horizontal="center" readingOrder="0" vertical="center"/>
    </xf>
    <xf borderId="10" fillId="0" fontId="2" numFmtId="0" xfId="0" applyAlignment="1" applyBorder="1" applyFont="1">
      <alignment horizontal="center" readingOrder="0" shrinkToFit="0" vertical="center" wrapText="1"/>
    </xf>
    <xf borderId="11" fillId="0" fontId="17" numFmtId="0" xfId="0" applyAlignment="1" applyBorder="1" applyFont="1">
      <alignment horizontal="center" readingOrder="0" vertical="center"/>
    </xf>
    <xf borderId="9" fillId="8" fontId="20" numFmtId="0" xfId="0" applyAlignment="1" applyBorder="1" applyFill="1" applyFont="1">
      <alignment horizontal="center" readingOrder="0" vertical="center"/>
    </xf>
    <xf borderId="11" fillId="8" fontId="2" numFmtId="0" xfId="0" applyAlignment="1" applyBorder="1" applyFill="1" applyFont="1">
      <alignment horizontal="center" readingOrder="0" vertical="center"/>
    </xf>
    <xf borderId="15" fillId="0" fontId="2" numFmtId="0" xfId="0" applyAlignment="1" applyBorder="1" applyFont="1">
      <alignment horizontal="left" readingOrder="0" shrinkToFit="0" vertical="center" wrapText="1"/>
    </xf>
    <xf borderId="3" fillId="11" fontId="1" numFmtId="0" xfId="0" applyAlignment="1" applyBorder="1" applyFill="1" applyFont="1">
      <alignment horizontal="center" readingOrder="0" vertical="center"/>
    </xf>
    <xf borderId="4" fillId="11" fontId="21" numFmtId="0" xfId="0" applyAlignment="1" applyBorder="1" applyFill="1" applyFont="1">
      <alignment horizontal="center" readingOrder="0" vertical="center"/>
    </xf>
    <xf borderId="5" fillId="11" fontId="1" numFmtId="0" xfId="0" applyAlignment="1" applyBorder="1" applyFill="1" applyFont="1">
      <alignment horizontal="center" readingOrder="0" vertical="center"/>
    </xf>
    <xf borderId="0" fillId="0" fontId="22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8" fontId="2" numFmtId="0" xfId="0" applyAlignment="1" applyFill="1" applyFont="1">
      <alignment horizontal="left" readingOrder="0" shrinkToFit="0" vertical="center" wrapText="1"/>
    </xf>
    <xf borderId="0" fillId="8" fontId="23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12" fontId="3" numFmtId="0" xfId="0" applyFill="1" applyFont="1"/>
    <xf borderId="0" fillId="8" fontId="2" numFmtId="0" xfId="0" applyAlignment="1" applyFill="1" applyFont="1">
      <alignment horizontal="left" readingOrder="0" vertical="center"/>
    </xf>
    <xf borderId="12" fillId="2" fontId="1" numFmtId="0" xfId="0" applyAlignment="1" applyBorder="1" applyFill="1" applyFont="1">
      <alignment horizontal="right" readingOrder="0" shrinkToFit="0" vertical="center" wrapText="1"/>
    </xf>
    <xf borderId="13" fillId="2" fontId="1" numFmtId="164" xfId="0" applyAlignment="1" applyBorder="1" applyFill="1" applyFont="1" applyNumberFormat="1">
      <alignment horizontal="center" readingOrder="0" shrinkToFit="0" vertical="center" wrapText="1"/>
    </xf>
    <xf borderId="15" fillId="0" fontId="2" numFmtId="164" xfId="0" applyAlignment="1" applyBorder="1" applyFont="1" applyNumberFormat="1">
      <alignment horizontal="center" readingOrder="0" shrinkToFit="0" vertical="center" wrapText="1"/>
    </xf>
    <xf borderId="0" fillId="12" fontId="2" numFmtId="0" xfId="0" applyFill="1" applyFont="1"/>
    <xf borderId="4" fillId="13" fontId="1" numFmtId="0" xfId="0" applyAlignment="1" applyBorder="1" applyFill="1" applyFont="1">
      <alignment horizontal="center" readingOrder="0" vertical="center"/>
    </xf>
    <xf borderId="0" fillId="12" fontId="1" numFmtId="166" xfId="0" applyAlignment="1" applyFill="1" applyFont="1" applyNumberFormat="1">
      <alignment horizontal="center" readingOrder="0" vertical="center"/>
    </xf>
    <xf borderId="0" fillId="12" fontId="1" numFmtId="0" xfId="0" applyAlignment="1" applyFill="1" applyFont="1">
      <alignment horizontal="center" readingOrder="0" vertical="center"/>
    </xf>
    <xf borderId="8" fillId="8" fontId="2" numFmtId="165" xfId="0" applyAlignment="1" applyBorder="1" applyFill="1" applyFont="1" applyNumberFormat="1">
      <alignment horizontal="center" readingOrder="0" vertical="center"/>
    </xf>
    <xf borderId="0" fillId="12" fontId="2" numFmtId="0" xfId="0" applyAlignment="1" applyFill="1" applyFont="1">
      <alignment horizontal="center" readingOrder="0" shrinkToFit="0" vertical="center" wrapText="1"/>
    </xf>
    <xf borderId="9" fillId="8" fontId="2" numFmtId="0" xfId="0" applyAlignment="1" applyBorder="1" applyFill="1" applyFont="1">
      <alignment horizontal="left" readingOrder="0" vertical="center"/>
    </xf>
    <xf borderId="9" fillId="8" fontId="23" numFmtId="0" xfId="0" applyAlignment="1" applyBorder="1" applyFill="1" applyFont="1">
      <alignment horizontal="center" readingOrder="0" shrinkToFit="0" vertical="center" wrapText="1"/>
    </xf>
    <xf borderId="0" fillId="10" fontId="2" numFmtId="0" xfId="0" applyAlignment="1" applyFill="1" applyFont="1">
      <alignment horizontal="center" readingOrder="0" vertical="center"/>
    </xf>
    <xf borderId="11" fillId="8" fontId="2" numFmtId="0" xfId="0" applyAlignment="1" applyBorder="1" applyFill="1" applyFont="1">
      <alignment horizontal="left" readingOrder="0" vertical="center"/>
    </xf>
    <xf borderId="0" fillId="10" fontId="2" numFmtId="164" xfId="0" applyAlignment="1" applyFill="1" applyFont="1" applyNumberFormat="1">
      <alignment horizontal="center" readingOrder="0" shrinkToFit="0" vertical="center" wrapText="1"/>
    </xf>
    <xf borderId="0" fillId="10" fontId="17" numFmtId="0" xfId="0" applyAlignment="1" applyFill="1" applyFont="1">
      <alignment horizontal="center" readingOrder="0" vertical="center"/>
    </xf>
    <xf borderId="0" fillId="12" fontId="17" numFmtId="0" xfId="0" applyAlignment="1" applyFill="1" applyFont="1">
      <alignment horizontal="center" readingOrder="0" vertical="center"/>
    </xf>
    <xf borderId="0" fillId="12" fontId="2" numFmtId="0" xfId="0" applyAlignment="1" applyFill="1" applyFont="1">
      <alignment horizontal="center" readingOrder="0" vertical="center"/>
    </xf>
    <xf borderId="0" fillId="12" fontId="17" numFmtId="0" xfId="0" applyAlignment="1" applyFill="1" applyFont="1">
      <alignment horizontal="center" vertical="center"/>
    </xf>
    <xf borderId="0" fillId="12" fontId="24" numFmtId="0" xfId="0" applyAlignment="1" applyFill="1" applyFont="1">
      <alignment horizontal="center" readingOrder="0" vertical="center"/>
    </xf>
    <xf borderId="0" fillId="12" fontId="17" numFmtId="0" xfId="0" applyAlignment="1" applyFill="1" applyFont="1">
      <alignment horizontal="left" readingOrder="0" vertical="center"/>
    </xf>
    <xf borderId="0" fillId="0" fontId="2" numFmtId="164" xfId="0" applyAlignment="1" applyFont="1" applyNumberFormat="1">
      <alignment horizontal="center" readingOrder="0" shrinkToFit="0" vertical="center" wrapText="1"/>
    </xf>
    <xf borderId="0" fillId="14" fontId="2" numFmtId="0" xfId="0" applyAlignment="1" applyFill="1" applyFont="1">
      <alignment horizontal="center" readingOrder="0" vertical="center"/>
    </xf>
    <xf borderId="0" fillId="14" fontId="2" numFmtId="0" xfId="0" applyAlignment="1" applyFill="1" applyFont="1">
      <alignment horizontal="center" readingOrder="0" shrinkToFit="0" vertical="center" wrapText="1"/>
    </xf>
    <xf borderId="0" fillId="14" fontId="2" numFmtId="164" xfId="0" applyAlignment="1" applyFill="1" applyFont="1" applyNumberFormat="1">
      <alignment horizontal="center" readingOrder="0" shrinkToFit="0" vertical="center" wrapText="1"/>
    </xf>
    <xf borderId="0" fillId="14" fontId="17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/>
    </xf>
    <xf borderId="0" fillId="4" fontId="2" numFmtId="164" xfId="0" applyAlignment="1" applyFill="1" applyFont="1" applyNumberFormat="1">
      <alignment horizontal="center" readingOrder="0" shrinkToFit="0" vertical="center" wrapText="1"/>
    </xf>
    <xf borderId="0" fillId="12" fontId="2" numFmtId="0" xfId="0" applyAlignment="1" applyFill="1" applyFont="1">
      <alignment horizontal="center" readingOrder="0"/>
    </xf>
    <xf borderId="0" fillId="12" fontId="10" numFmtId="0" xfId="0" applyAlignment="1" applyFill="1" applyFont="1">
      <alignment horizontal="center" readingOrder="0"/>
    </xf>
    <xf borderId="0" fillId="13" fontId="2" numFmtId="0" xfId="0" applyAlignment="1" applyFill="1" applyFont="1">
      <alignment horizontal="center" readingOrder="0" vertical="center"/>
    </xf>
    <xf borderId="0" fillId="13" fontId="2" numFmtId="0" xfId="0" applyAlignment="1" applyFill="1" applyFont="1">
      <alignment horizontal="center" readingOrder="0"/>
    </xf>
    <xf borderId="0" fillId="13" fontId="2" numFmtId="164" xfId="0" applyAlignment="1" applyFill="1" applyFont="1" applyNumberFormat="1">
      <alignment horizontal="center" readingOrder="0" shrinkToFit="0" vertical="center" wrapText="1"/>
    </xf>
    <xf borderId="0" fillId="13" fontId="2" numFmtId="0" xfId="0" applyAlignment="1" applyFill="1" applyFont="1">
      <alignment horizontal="center"/>
    </xf>
    <xf borderId="0" fillId="12" fontId="2" numFmtId="0" xfId="0" applyAlignment="1" applyFill="1" applyFont="1">
      <alignment horizontal="center"/>
    </xf>
    <xf borderId="0" fillId="12" fontId="2" numFmtId="164" xfId="0" applyAlignment="1" applyFill="1" applyFont="1" applyNumberFormat="1">
      <alignment horizontal="center" readingOrder="0" shrinkToFit="0" vertical="center" wrapText="1"/>
    </xf>
    <xf borderId="0" fillId="12" fontId="2" numFmtId="164" xfId="0" applyAlignment="1" applyFill="1" applyFont="1" applyNumberFormat="1">
      <alignment horizontal="center" readingOrder="0"/>
    </xf>
    <xf borderId="0" fillId="15" fontId="2" numFmtId="0" xfId="0" applyAlignment="1" applyFill="1" applyFont="1">
      <alignment horizontal="center" readingOrder="0"/>
    </xf>
    <xf borderId="0" fillId="15" fontId="2" numFmtId="0" xfId="0" applyAlignment="1" applyFill="1" applyFont="1">
      <alignment horizontal="center" readingOrder="0" shrinkToFit="0" vertical="center" wrapText="1"/>
    </xf>
    <xf borderId="0" fillId="15" fontId="2" numFmtId="0" xfId="0" applyAlignment="1" applyFill="1" applyFont="1">
      <alignment horizontal="center"/>
    </xf>
    <xf borderId="0" fillId="15" fontId="2" numFmtId="164" xfId="0" applyAlignment="1" applyFill="1" applyFont="1" applyNumberFormat="1">
      <alignment horizontal="center" readingOrder="0" shrinkToFit="0" vertical="center" wrapText="1"/>
    </xf>
    <xf borderId="0" fillId="15" fontId="2" numFmtId="164" xfId="0" applyAlignment="1" applyFill="1" applyFont="1" applyNumberFormat="1">
      <alignment horizontal="center" readingOrder="0"/>
    </xf>
    <xf borderId="0" fillId="16" fontId="2" numFmtId="0" xfId="0" applyAlignment="1" applyFill="1" applyFont="1">
      <alignment horizontal="center" readingOrder="0"/>
    </xf>
    <xf borderId="0" fillId="16" fontId="2" numFmtId="0" xfId="0" applyAlignment="1" applyFill="1" applyFont="1">
      <alignment horizontal="center" readingOrder="0" shrinkToFit="0" vertical="center" wrapText="1"/>
    </xf>
    <xf borderId="0" fillId="16" fontId="2" numFmtId="0" xfId="0" applyAlignment="1" applyFill="1" applyFont="1">
      <alignment horizontal="center"/>
    </xf>
    <xf borderId="0" fillId="16" fontId="2" numFmtId="164" xfId="0" applyAlignment="1" applyFill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/>
    </xf>
    <xf borderId="0" fillId="17" fontId="2" numFmtId="0" xfId="0" applyAlignment="1" applyFill="1" applyFont="1">
      <alignment horizontal="center" readingOrder="0"/>
    </xf>
    <xf borderId="0" fillId="17" fontId="2" numFmtId="0" xfId="0" applyAlignment="1" applyFill="1" applyFont="1">
      <alignment horizontal="center" readingOrder="0" shrinkToFit="0" vertical="center" wrapText="1"/>
    </xf>
    <xf borderId="0" fillId="17" fontId="2" numFmtId="0" xfId="0" applyAlignment="1" applyFill="1" applyFont="1">
      <alignment horizontal="center"/>
    </xf>
    <xf borderId="0" fillId="17" fontId="2" numFmtId="164" xfId="0" applyAlignment="1" applyFill="1" applyFont="1" applyNumberFormat="1">
      <alignment horizontal="center" readingOrder="0" shrinkToFit="0" vertical="center" wrapText="1"/>
    </xf>
    <xf borderId="0" fillId="18" fontId="2" numFmtId="0" xfId="0" applyAlignment="1" applyFill="1" applyFont="1">
      <alignment horizontal="center" readingOrder="0"/>
    </xf>
    <xf borderId="0" fillId="18" fontId="2" numFmtId="0" xfId="0" applyAlignment="1" applyFill="1" applyFont="1">
      <alignment horizontal="center" readingOrder="0" shrinkToFit="0" vertical="center" wrapText="1"/>
    </xf>
    <xf borderId="0" fillId="18" fontId="2" numFmtId="0" xfId="0" applyAlignment="1" applyFill="1" applyFont="1">
      <alignment horizontal="center"/>
    </xf>
    <xf borderId="0" fillId="18" fontId="2" numFmtId="164" xfId="0" applyAlignment="1" applyFill="1" applyFont="1" applyNumberFormat="1">
      <alignment horizontal="center" readingOrder="0" shrinkToFit="0" vertical="center" wrapText="1"/>
    </xf>
    <xf borderId="0" fillId="19" fontId="2" numFmtId="0" xfId="0" applyAlignment="1" applyFill="1" applyFont="1">
      <alignment horizontal="center" readingOrder="0"/>
    </xf>
    <xf borderId="0" fillId="19" fontId="2" numFmtId="0" xfId="0" applyAlignment="1" applyFill="1" applyFont="1">
      <alignment horizontal="center" readingOrder="0" shrinkToFit="0" vertical="center" wrapText="1"/>
    </xf>
    <xf borderId="0" fillId="19" fontId="2" numFmtId="0" xfId="0" applyAlignment="1" applyFill="1" applyFont="1">
      <alignment horizontal="center"/>
    </xf>
    <xf borderId="0" fillId="19" fontId="2" numFmtId="164" xfId="0" applyAlignment="1" applyFill="1" applyFont="1" applyNumberFormat="1">
      <alignment horizontal="center" readingOrder="0" shrinkToFit="0" vertical="center" wrapText="1"/>
    </xf>
    <xf borderId="0" fillId="14" fontId="2" numFmtId="0" xfId="0" applyAlignment="1" applyFill="1" applyFont="1">
      <alignment horizontal="center" readingOrder="0"/>
    </xf>
    <xf borderId="0" fillId="14" fontId="2" numFmtId="0" xfId="0" applyAlignment="1" applyFill="1" applyFont="1">
      <alignment horizontal="center"/>
    </xf>
    <xf borderId="14" fillId="20" fontId="1" numFmtId="0" xfId="0" applyAlignment="1" applyBorder="1" applyFill="1" applyFont="1">
      <alignment horizontal="center" readingOrder="0" vertical="center"/>
    </xf>
    <xf borderId="14" fillId="21" fontId="1" numFmtId="0" xfId="0" applyAlignment="1" applyBorder="1" applyFill="1" applyFont="1">
      <alignment horizontal="center" readingOrder="0" vertical="center"/>
    </xf>
    <xf borderId="0" fillId="12" fontId="2" numFmtId="0" xfId="0" applyAlignment="1" applyFill="1" applyFont="1">
      <alignment horizontal="left" readingOrder="0" shrinkToFit="0" vertical="center" wrapText="1"/>
    </xf>
    <xf borderId="4" fillId="10" fontId="2" numFmtId="0" xfId="0" applyAlignment="1" applyBorder="1" applyFill="1" applyFont="1">
      <alignment horizontal="center" readingOrder="0" vertical="center"/>
    </xf>
    <xf borderId="4" fillId="12" fontId="2" numFmtId="0" xfId="0" applyAlignment="1" applyBorder="1" applyFill="1" applyFont="1">
      <alignment horizontal="left" readingOrder="0" shrinkToFit="0" vertical="center" wrapText="1"/>
    </xf>
    <xf borderId="4" fillId="10" fontId="2" numFmtId="164" xfId="0" applyAlignment="1" applyBorder="1" applyFill="1" applyFont="1" applyNumberFormat="1">
      <alignment horizontal="center" readingOrder="0" shrinkToFit="0" vertical="center" wrapText="1"/>
    </xf>
    <xf borderId="4" fillId="10" fontId="17" numFmtId="0" xfId="0" applyAlignment="1" applyBorder="1" applyFill="1" applyFont="1">
      <alignment horizontal="center" readingOrder="0" vertical="center"/>
    </xf>
    <xf borderId="5" fillId="10" fontId="17" numFmtId="0" xfId="0" applyAlignment="1" applyBorder="1" applyFill="1" applyFont="1">
      <alignment horizontal="center" readingOrder="0" vertical="center"/>
    </xf>
    <xf borderId="14" fillId="12" fontId="2" numFmtId="0" xfId="0" applyAlignment="1" applyBorder="1" applyFill="1" applyFont="1">
      <alignment horizontal="left" readingOrder="0" shrinkToFit="0" vertical="center" wrapText="1"/>
    </xf>
    <xf borderId="0" fillId="12" fontId="2" numFmtId="0" xfId="0" applyAlignment="1" applyFill="1" applyFont="1">
      <alignment horizontal="left" readingOrder="0" vertical="center"/>
    </xf>
    <xf borderId="7" fillId="10" fontId="17" numFmtId="0" xfId="0" applyAlignment="1" applyBorder="1" applyFill="1" applyFont="1">
      <alignment horizontal="center" readingOrder="0" vertical="center"/>
    </xf>
    <xf borderId="14" fillId="12" fontId="2" numFmtId="0" xfId="0" applyAlignment="1" applyBorder="1" applyFill="1" applyFont="1">
      <alignment horizontal="left" readingOrder="0" vertical="center"/>
    </xf>
    <xf borderId="14" fillId="0" fontId="2" numFmtId="0" xfId="0" applyAlignment="1" applyBorder="1" applyFont="1">
      <alignment horizontal="left" readingOrder="0" vertical="center"/>
    </xf>
    <xf borderId="14" fillId="12" fontId="17" numFmtId="0" xfId="0" applyAlignment="1" applyBorder="1" applyFill="1" applyFont="1">
      <alignment horizontal="left" readingOrder="0" vertical="center"/>
    </xf>
    <xf borderId="7" fillId="10" fontId="2" numFmtId="0" xfId="0" applyAlignment="1" applyBorder="1" applyFill="1" applyFont="1">
      <alignment horizontal="center" readingOrder="0" vertical="center"/>
    </xf>
    <xf borderId="7" fillId="10" fontId="2" numFmtId="0" xfId="0" applyAlignment="1" applyBorder="1" applyFill="1" applyFont="1">
      <alignment horizontal="center" vertical="center"/>
    </xf>
    <xf borderId="0" fillId="10" fontId="2" numFmtId="164" xfId="0" applyAlignment="1" applyFill="1" applyFont="1" applyNumberFormat="1">
      <alignment horizontal="center" readingOrder="0" vertical="center"/>
    </xf>
    <xf borderId="9" fillId="10" fontId="2" numFmtId="0" xfId="0" applyAlignment="1" applyBorder="1" applyFill="1" applyFont="1">
      <alignment horizontal="center" readingOrder="0" vertical="center"/>
    </xf>
    <xf borderId="9" fillId="12" fontId="2" numFmtId="0" xfId="0" applyAlignment="1" applyBorder="1" applyFill="1" applyFont="1">
      <alignment horizontal="left" readingOrder="0" shrinkToFit="0" vertical="center" wrapText="1"/>
    </xf>
    <xf borderId="9" fillId="0" fontId="2" numFmtId="0" xfId="0" applyAlignment="1" applyBorder="1" applyFont="1">
      <alignment horizontal="left" readingOrder="0" vertical="center"/>
    </xf>
    <xf borderId="9" fillId="10" fontId="2" numFmtId="164" xfId="0" applyAlignment="1" applyBorder="1" applyFill="1" applyFont="1" applyNumberFormat="1">
      <alignment horizontal="center" readingOrder="0" shrinkToFit="0" vertical="center" wrapText="1"/>
    </xf>
    <xf borderId="9" fillId="10" fontId="2" numFmtId="164" xfId="0" applyAlignment="1" applyBorder="1" applyFill="1" applyFont="1" applyNumberFormat="1">
      <alignment horizontal="center" readingOrder="0" vertical="center"/>
    </xf>
    <xf borderId="11" fillId="10" fontId="2" numFmtId="0" xfId="0" applyAlignment="1" applyBorder="1" applyFill="1" applyFont="1">
      <alignment horizontal="center" vertical="center"/>
    </xf>
    <xf borderId="0" fillId="2" fontId="3" numFmtId="0" xfId="0" applyFill="1" applyFont="1"/>
    <xf borderId="0" fillId="10" fontId="3" numFmtId="0" xfId="0" applyFill="1" applyFont="1"/>
    <xf borderId="0" fillId="2" fontId="2" numFmtId="0" xfId="0" applyAlignment="1" applyFill="1" applyFont="1">
      <alignment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4" fillId="20" fontId="1" numFmtId="0" xfId="0" applyAlignment="1" applyBorder="1" applyFill="1" applyFont="1">
      <alignment horizontal="center" readingOrder="0" vertical="center"/>
    </xf>
    <xf borderId="16" fillId="20" fontId="1" numFmtId="0" xfId="0" applyAlignment="1" applyBorder="1" applyFill="1" applyFont="1">
      <alignment horizontal="center" readingOrder="0" vertical="center"/>
    </xf>
    <xf borderId="4" fillId="20" fontId="9" numFmtId="0" xfId="0" applyAlignment="1" applyBorder="1" applyFill="1" applyFont="1">
      <alignment horizontal="center" readingOrder="0" vertical="center"/>
    </xf>
    <xf borderId="5" fillId="20" fontId="1" numFmtId="0" xfId="0" applyAlignment="1" applyBorder="1" applyFill="1" applyFont="1">
      <alignment horizontal="center" readingOrder="0" vertical="center"/>
    </xf>
    <xf borderId="4" fillId="22" fontId="2" numFmtId="0" xfId="0" applyAlignment="1" applyBorder="1" applyFill="1" applyFont="1">
      <alignment horizontal="center" readingOrder="0" vertical="center"/>
    </xf>
    <xf borderId="0" fillId="22" fontId="2" numFmtId="0" xfId="0" applyAlignment="1" applyFill="1" applyFont="1">
      <alignment horizontal="left" readingOrder="0" shrinkToFit="0" vertical="center" wrapText="1"/>
    </xf>
    <xf borderId="0" fillId="22" fontId="2" numFmtId="0" xfId="0" applyAlignment="1" applyFill="1" applyFont="1">
      <alignment horizontal="center" readingOrder="0" shrinkToFit="0" vertical="center" wrapText="1"/>
    </xf>
    <xf borderId="4" fillId="22" fontId="2" numFmtId="0" xfId="0" applyAlignment="1" applyBorder="1" applyFill="1" applyFont="1">
      <alignment horizontal="left" readingOrder="0" shrinkToFit="0" vertical="center" wrapText="1"/>
    </xf>
    <xf borderId="0" fillId="22" fontId="2" numFmtId="164" xfId="0" applyAlignment="1" applyFill="1" applyFont="1" applyNumberFormat="1">
      <alignment horizontal="center" readingOrder="0" shrinkToFit="0" vertical="center" wrapText="1"/>
    </xf>
    <xf borderId="4" fillId="22" fontId="17" numFmtId="0" xfId="0" applyAlignment="1" applyBorder="1" applyFill="1" applyFont="1">
      <alignment horizontal="center" readingOrder="0" vertical="center"/>
    </xf>
    <xf borderId="17" fillId="22" fontId="17" numFmtId="0" xfId="0" applyAlignment="1" applyBorder="1" applyFill="1" applyFont="1">
      <alignment horizontal="center" readingOrder="0" vertical="center"/>
    </xf>
    <xf borderId="14" fillId="22" fontId="2" numFmtId="0" xfId="0" applyAlignment="1" applyBorder="1" applyFill="1" applyFont="1">
      <alignment horizontal="left" readingOrder="0" shrinkToFit="0" vertical="center" wrapText="1"/>
    </xf>
    <xf borderId="0" fillId="22" fontId="2" numFmtId="0" xfId="0" applyAlignment="1" applyFill="1" applyFont="1">
      <alignment horizontal="center" readingOrder="0" vertical="center"/>
    </xf>
    <xf borderId="0" fillId="22" fontId="17" numFmtId="0" xfId="0" applyAlignment="1" applyFill="1" applyFont="1">
      <alignment horizontal="center" readingOrder="0" vertical="center"/>
    </xf>
    <xf borderId="18" fillId="22" fontId="17" numFmtId="0" xfId="0" applyAlignment="1" applyBorder="1" applyFill="1" applyFont="1">
      <alignment horizontal="center" readingOrder="0" vertical="center"/>
    </xf>
    <xf borderId="14" fillId="23" fontId="2" numFmtId="0" xfId="0" applyAlignment="1" applyBorder="1" applyFill="1" applyFont="1">
      <alignment horizontal="left" readingOrder="0" vertical="center"/>
    </xf>
    <xf borderId="14" fillId="24" fontId="2" numFmtId="0" xfId="0" applyAlignment="1" applyBorder="1" applyFill="1" applyFont="1">
      <alignment horizontal="left" readingOrder="0" vertical="center"/>
    </xf>
    <xf borderId="0" fillId="25" fontId="2" numFmtId="0" xfId="0" applyAlignment="1" applyFill="1" applyFont="1">
      <alignment horizontal="center" readingOrder="0" vertical="center"/>
    </xf>
    <xf borderId="0" fillId="25" fontId="2" numFmtId="0" xfId="0" applyAlignment="1" applyFill="1" applyFont="1">
      <alignment horizontal="left" readingOrder="0" shrinkToFit="0" vertical="center" wrapText="1"/>
    </xf>
    <xf borderId="0" fillId="25" fontId="2" numFmtId="164" xfId="0" applyAlignment="1" applyFill="1" applyFont="1" applyNumberFormat="1">
      <alignment horizontal="center" readingOrder="0" shrinkToFit="0" vertical="center" wrapText="1"/>
    </xf>
    <xf borderId="0" fillId="25" fontId="17" numFmtId="0" xfId="0" applyAlignment="1" applyFill="1" applyFont="1">
      <alignment horizontal="center" readingOrder="0" vertical="center"/>
    </xf>
    <xf borderId="18" fillId="25" fontId="17" numFmtId="0" xfId="0" applyAlignment="1" applyBorder="1" applyFill="1" applyFont="1">
      <alignment horizontal="center" readingOrder="0" vertical="center"/>
    </xf>
    <xf borderId="14" fillId="6" fontId="2" numFmtId="0" xfId="0" applyAlignment="1" applyBorder="1" applyFill="1" applyFont="1">
      <alignment horizontal="left" readingOrder="0" vertical="center"/>
    </xf>
    <xf borderId="0" fillId="6" fontId="2" numFmtId="0" xfId="0" applyAlignment="1" applyFill="1" applyFont="1">
      <alignment horizontal="center" readingOrder="0" vertical="center"/>
    </xf>
    <xf borderId="0" fillId="6" fontId="2" numFmtId="0" xfId="0" applyAlignment="1" applyFill="1" applyFont="1">
      <alignment horizontal="left" readingOrder="0" vertical="center"/>
    </xf>
    <xf borderId="0" fillId="6" fontId="2" numFmtId="0" xfId="0" applyAlignment="1" applyFill="1" applyFont="1">
      <alignment horizontal="center" readingOrder="0" shrinkToFit="0" vertical="center" wrapText="1"/>
    </xf>
    <xf borderId="0" fillId="6" fontId="2" numFmtId="164" xfId="0" applyAlignment="1" applyFill="1" applyFont="1" applyNumberFormat="1">
      <alignment horizontal="center" readingOrder="0" shrinkToFit="0" vertical="center" wrapText="1"/>
    </xf>
    <xf borderId="0" fillId="6" fontId="2" numFmtId="164" xfId="0" applyAlignment="1" applyFill="1" applyFont="1" applyNumberFormat="1">
      <alignment horizontal="center" readingOrder="0" vertical="center"/>
    </xf>
    <xf borderId="7" fillId="6" fontId="2" numFmtId="0" xfId="0" applyAlignment="1" applyBorder="1" applyFill="1" applyFont="1">
      <alignment horizontal="center" vertical="center"/>
    </xf>
    <xf borderId="0" fillId="2" fontId="2" numFmtId="0" xfId="0" applyAlignment="1" applyFill="1" applyFont="1">
      <alignment horizontal="left" readingOrder="0" vertical="center"/>
    </xf>
    <xf borderId="0" fillId="2" fontId="2" numFmtId="0" xfId="0" applyAlignment="1" applyFill="1" applyFont="1">
      <alignment horizontal="center" readingOrder="0" vertical="center"/>
    </xf>
    <xf borderId="0" fillId="10" fontId="2" numFmtId="0" xfId="0" applyAlignment="1" applyFill="1" applyFont="1">
      <alignment horizontal="center" readingOrder="0" shrinkToFit="0" vertical="center" wrapText="1"/>
    </xf>
    <xf borderId="18" fillId="10" fontId="17" numFmtId="0" xfId="0" applyAlignment="1" applyBorder="1" applyFill="1" applyFont="1">
      <alignment horizontal="center" readingOrder="0" vertical="center"/>
    </xf>
    <xf borderId="18" fillId="10" fontId="2" numFmtId="0" xfId="0" applyAlignment="1" applyBorder="1" applyFill="1" applyFont="1">
      <alignment horizontal="center" readingOrder="0" shrinkToFit="0" vertical="center" wrapText="1"/>
    </xf>
    <xf borderId="0" fillId="22" fontId="2" numFmtId="0" xfId="0" applyAlignment="1" applyFill="1" applyFont="1">
      <alignment horizontal="left" readingOrder="0" vertical="center"/>
    </xf>
    <xf borderId="18" fillId="22" fontId="2" numFmtId="0" xfId="0" applyAlignment="1" applyBorder="1" applyFill="1" applyFont="1">
      <alignment horizontal="center" readingOrder="0" vertical="center"/>
    </xf>
    <xf borderId="18" fillId="10" fontId="2" numFmtId="0" xfId="0" applyAlignment="1" applyBorder="1" applyFill="1" applyFont="1">
      <alignment horizontal="center" readingOrder="0" vertical="center"/>
    </xf>
    <xf borderId="0" fillId="23" fontId="2" numFmtId="0" xfId="0" applyAlignment="1" applyFill="1" applyFont="1">
      <alignment horizontal="center" readingOrder="0" vertical="center"/>
    </xf>
    <xf borderId="0" fillId="23" fontId="2" numFmtId="0" xfId="0" applyAlignment="1" applyFill="1" applyFont="1">
      <alignment horizontal="left" readingOrder="0" vertical="center"/>
    </xf>
    <xf borderId="0" fillId="23" fontId="2" numFmtId="0" xfId="0" applyAlignment="1" applyFill="1" applyFont="1">
      <alignment horizontal="center" readingOrder="0" shrinkToFit="0" vertical="center" wrapText="1"/>
    </xf>
    <xf borderId="18" fillId="23" fontId="2" numFmtId="0" xfId="0" applyAlignment="1" applyBorder="1" applyFill="1" applyFont="1">
      <alignment horizontal="center" readingOrder="0" vertical="center"/>
    </xf>
    <xf borderId="9" fillId="10" fontId="2" numFmtId="0" xfId="0" applyAlignment="1" applyBorder="1" applyFill="1" applyFont="1">
      <alignment horizontal="center" readingOrder="0" shrinkToFit="0" vertical="center" wrapText="1"/>
    </xf>
    <xf borderId="19" fillId="10" fontId="2" numFmtId="0" xfId="0" applyAlignment="1" applyBorder="1" applyFill="1" applyFont="1">
      <alignment horizontal="center" readingOrder="0" shrinkToFit="0" vertical="center" wrapText="1"/>
    </xf>
    <xf borderId="18" fillId="10" fontId="2" numFmtId="0" xfId="0" applyAlignment="1" applyBorder="1" applyFill="1" applyFont="1">
      <alignment horizontal="center" vertical="center"/>
    </xf>
    <xf borderId="0" fillId="22" fontId="2" numFmtId="164" xfId="0" applyAlignment="1" applyFill="1" applyFont="1" applyNumberFormat="1">
      <alignment horizontal="center" readingOrder="0" vertical="center"/>
    </xf>
    <xf borderId="18" fillId="22" fontId="2" numFmtId="0" xfId="0" applyAlignment="1" applyBorder="1" applyFill="1" applyFont="1">
      <alignment horizontal="center" vertical="center"/>
    </xf>
    <xf borderId="9" fillId="12" fontId="2" numFmtId="0" xfId="0" applyAlignment="1" applyBorder="1" applyFill="1" applyFont="1">
      <alignment horizontal="center" readingOrder="0" shrinkToFit="0" vertical="center" wrapText="1"/>
    </xf>
    <xf borderId="19" fillId="10" fontId="2" numFmtId="0" xfId="0" applyAlignment="1" applyBorder="1" applyFill="1" applyFont="1">
      <alignment horizontal="center" vertical="center"/>
    </xf>
    <xf borderId="18" fillId="6" fontId="2" numFmtId="0" xfId="0" applyAlignment="1" applyBorder="1" applyFill="1" applyFont="1">
      <alignment horizontal="center" vertical="center"/>
    </xf>
    <xf borderId="9" fillId="22" fontId="2" numFmtId="0" xfId="0" applyAlignment="1" applyBorder="1" applyFill="1" applyFont="1">
      <alignment horizontal="center" readingOrder="0" vertical="center"/>
    </xf>
    <xf borderId="9" fillId="22" fontId="2" numFmtId="0" xfId="0" applyAlignment="1" applyBorder="1" applyFill="1" applyFont="1">
      <alignment horizontal="left" readingOrder="0" shrinkToFit="0" vertical="center" wrapText="1"/>
    </xf>
    <xf borderId="9" fillId="22" fontId="2" numFmtId="0" xfId="0" applyAlignment="1" applyBorder="1" applyFill="1" applyFont="1">
      <alignment horizontal="center" readingOrder="0" shrinkToFit="0" vertical="center" wrapText="1"/>
    </xf>
    <xf borderId="9" fillId="22" fontId="2" numFmtId="164" xfId="0" applyAlignment="1" applyBorder="1" applyFill="1" applyFont="1" applyNumberFormat="1">
      <alignment horizontal="center" readingOrder="0" shrinkToFit="0" vertical="center" wrapText="1"/>
    </xf>
    <xf borderId="9" fillId="22" fontId="2" numFmtId="164" xfId="0" applyAlignment="1" applyBorder="1" applyFill="1" applyFont="1" applyNumberFormat="1">
      <alignment horizontal="center" readingOrder="0" vertical="center"/>
    </xf>
    <xf borderId="19" fillId="22" fontId="2" numFmtId="0" xfId="0" applyAlignment="1" applyBorder="1" applyFill="1" applyFont="1">
      <alignment horizontal="center" vertical="center"/>
    </xf>
    <xf borderId="0" fillId="6" fontId="2" numFmtId="0" xfId="0" applyAlignment="1" applyFill="1" applyFont="1">
      <alignment horizontal="left" readingOrder="0" shrinkToFit="0" vertical="center" wrapText="1"/>
    </xf>
    <xf borderId="18" fillId="6" fontId="2" numFmtId="0" xfId="0" applyAlignment="1" applyBorder="1" applyFill="1" applyFont="1">
      <alignment horizontal="center" readingOrder="0" vertical="center"/>
    </xf>
    <xf borderId="0" fillId="24" fontId="2" numFmtId="0" xfId="0" applyAlignment="1" applyFill="1" applyFont="1">
      <alignment horizontal="center" readingOrder="0" vertical="center"/>
    </xf>
    <xf borderId="0" fillId="24" fontId="2" numFmtId="0" xfId="0" applyAlignment="1" applyFill="1" applyFont="1">
      <alignment horizontal="left" readingOrder="0" shrinkToFit="0" vertical="center" wrapText="1"/>
    </xf>
    <xf borderId="0" fillId="24" fontId="2" numFmtId="0" xfId="0" applyAlignment="1" applyFill="1" applyFont="1">
      <alignment horizontal="center" readingOrder="0" shrinkToFit="0" vertical="center" wrapText="1"/>
    </xf>
    <xf borderId="18" fillId="24" fontId="2" numFmtId="0" xfId="0" applyAlignment="1" applyBorder="1" applyFill="1" applyFont="1">
      <alignment horizontal="center" readingOrder="0" vertical="center"/>
    </xf>
    <xf borderId="9" fillId="24" fontId="2" numFmtId="0" xfId="0" applyAlignment="1" applyBorder="1" applyFill="1" applyFont="1">
      <alignment horizontal="center" readingOrder="0" vertical="center"/>
    </xf>
    <xf borderId="9" fillId="24" fontId="2" numFmtId="0" xfId="0" applyAlignment="1" applyBorder="1" applyFill="1" applyFont="1">
      <alignment horizontal="left" readingOrder="0" shrinkToFit="0" vertical="center" wrapText="1"/>
    </xf>
    <xf borderId="9" fillId="24" fontId="2" numFmtId="0" xfId="0" applyAlignment="1" applyBorder="1" applyFill="1" applyFont="1">
      <alignment horizontal="center" readingOrder="0" shrinkToFit="0" vertical="center" wrapText="1"/>
    </xf>
    <xf borderId="19" fillId="24" fontId="2" numFmtId="0" xfId="0" applyAlignment="1" applyBorder="1" applyFill="1" applyFont="1">
      <alignment horizontal="center" readingOrder="0" vertical="center"/>
    </xf>
    <xf borderId="13" fillId="0" fontId="2" numFmtId="164" xfId="0" applyAlignment="1" applyBorder="1" applyFont="1" applyNumberFormat="1">
      <alignment horizontal="center" readingOrder="0" shrinkToFit="0" vertical="center" wrapText="1"/>
    </xf>
    <xf borderId="3" fillId="13" fontId="1" numFmtId="0" xfId="0" applyAlignment="1" applyBorder="1" applyFill="1" applyFont="1">
      <alignment horizontal="center" readingOrder="0" vertical="center"/>
    </xf>
    <xf borderId="4" fillId="13" fontId="1" numFmtId="166" xfId="0" applyAlignment="1" applyBorder="1" applyFill="1" applyFont="1" applyNumberFormat="1">
      <alignment horizontal="center" readingOrder="0" vertical="center"/>
    </xf>
    <xf borderId="5" fillId="13" fontId="1" numFmtId="166" xfId="0" applyAlignment="1" applyBorder="1" applyFill="1" applyFont="1" applyNumberFormat="1">
      <alignment horizontal="center" readingOrder="0" vertical="center"/>
    </xf>
    <xf borderId="0" fillId="0" fontId="17" numFmtId="0" xfId="0" applyAlignment="1" applyFont="1">
      <alignment horizontal="center" vertical="center"/>
    </xf>
    <xf borderId="7" fillId="0" fontId="17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center" readingOrder="0" shrinkToFit="0" vertical="center" wrapText="1"/>
    </xf>
    <xf borderId="9" fillId="0" fontId="17" numFmtId="0" xfId="0" applyAlignment="1" applyBorder="1" applyFont="1">
      <alignment horizontal="center" readingOrder="0" vertical="center"/>
    </xf>
    <xf borderId="9" fillId="0" fontId="17" numFmtId="0" xfId="0" applyAlignment="1" applyBorder="1" applyFont="1">
      <alignment horizontal="center" vertical="center"/>
    </xf>
    <xf borderId="0" fillId="26" fontId="10" numFmtId="0" xfId="0" applyAlignment="1" applyFill="1" applyFont="1">
      <alignment horizontal="center" readingOrder="0"/>
    </xf>
    <xf borderId="0" fillId="26" fontId="3" numFmtId="0" xfId="0" applyFill="1" applyFont="1"/>
    <xf borderId="0" fillId="26" fontId="2" numFmtId="0" xfId="0" applyAlignment="1" applyFill="1" applyFont="1">
      <alignment horizontal="center" readingOrder="0"/>
    </xf>
    <xf borderId="0" fillId="27" fontId="10" numFmtId="0" xfId="0" applyAlignment="1" applyFill="1" applyFont="1">
      <alignment horizontal="center" readingOrder="0"/>
    </xf>
    <xf borderId="0" fillId="27" fontId="10" numFmtId="0" xfId="0" applyFill="1" applyFont="1"/>
    <xf borderId="0" fillId="26" fontId="11" numFmtId="0" xfId="0" applyAlignment="1" applyFill="1" applyFont="1">
      <alignment horizontal="center" readingOrder="0"/>
    </xf>
    <xf borderId="0" fillId="26" fontId="1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 shrinkToFit="0" vertical="center" wrapText="0"/>
    </xf>
    <xf borderId="20" fillId="21" fontId="1" numFmtId="0" xfId="0" applyAlignment="1" applyBorder="1" applyFill="1" applyFont="1">
      <alignment horizontal="center" readingOrder="0" vertical="center"/>
    </xf>
    <xf borderId="16" fillId="21" fontId="1" numFmtId="0" xfId="0" applyAlignment="1" applyBorder="1" applyFill="1" applyFont="1">
      <alignment horizontal="center" readingOrder="0" vertical="center"/>
    </xf>
    <xf borderId="21" fillId="21" fontId="1" numFmtId="0" xfId="0" applyAlignment="1" applyBorder="1" applyFill="1" applyFont="1">
      <alignment horizontal="center" readingOrder="0" vertical="center"/>
    </xf>
    <xf borderId="0" fillId="21" fontId="1" numFmtId="0" xfId="0" applyAlignment="1" applyFill="1" applyFont="1">
      <alignment horizontal="center" readingOrder="0" vertical="center"/>
    </xf>
    <xf borderId="22" fillId="0" fontId="2" numFmtId="0" xfId="0" applyAlignment="1" applyBorder="1" applyFont="1">
      <alignment horizontal="center" readingOrder="0" shrinkToFit="0" vertical="center" wrapText="1"/>
    </xf>
    <xf borderId="6" fillId="8" fontId="2" numFmtId="0" xfId="0" applyAlignment="1" applyBorder="1" applyFill="1" applyFont="1">
      <alignment horizontal="center" readingOrder="0" vertical="center"/>
    </xf>
    <xf borderId="22" fillId="8" fontId="2" numFmtId="0" xfId="0" applyAlignment="1" applyBorder="1" applyFill="1" applyFont="1">
      <alignment horizontal="center" readingOrder="0" shrinkToFit="0" vertical="center" wrapText="1"/>
    </xf>
    <xf borderId="8" fillId="8" fontId="2" numFmtId="0" xfId="0" applyAlignment="1" applyBorder="1" applyFill="1" applyFont="1">
      <alignment horizontal="center" readingOrder="0" vertical="center"/>
    </xf>
    <xf borderId="0" fillId="26" fontId="1" numFmtId="0" xfId="0" applyAlignment="1" applyFill="1" applyFont="1">
      <alignment horizontal="center" readingOrder="0"/>
    </xf>
    <xf borderId="22" fillId="0" fontId="2" numFmtId="0" xfId="0" applyAlignment="1" applyBorder="1" applyFont="1">
      <alignment horizontal="left" readingOrder="0" shrinkToFit="0" vertical="center" wrapText="1"/>
    </xf>
    <xf borderId="0" fillId="2" fontId="25" numFmtId="0" xfId="0" applyAlignment="1" applyFill="1" applyFont="1">
      <alignment readingOrder="0" shrinkToFit="0" vertical="center" wrapText="0"/>
    </xf>
    <xf borderId="4" fillId="26" fontId="1" numFmtId="0" xfId="0" applyAlignment="1" applyBorder="1" applyFill="1" applyFont="1">
      <alignment horizontal="center" readingOrder="0" vertical="center"/>
    </xf>
    <xf borderId="9" fillId="0" fontId="2" numFmtId="20" xfId="0" applyAlignment="1" applyBorder="1" applyFont="1" applyNumberFormat="1">
      <alignment horizontal="center" readingOrder="0" vertical="center"/>
    </xf>
    <xf borderId="9" fillId="0" fontId="2" numFmtId="0" xfId="0" applyAlignment="1" applyBorder="1" applyFont="1">
      <alignment horizontal="center" readingOrder="0" shrinkToFit="0" vertical="center" wrapText="1"/>
    </xf>
    <xf borderId="23" fillId="0" fontId="2" numFmtId="164" xfId="0" applyAlignment="1" applyBorder="1" applyFont="1" applyNumberFormat="1">
      <alignment horizontal="center" readingOrder="0" shrinkToFit="0" vertical="center" wrapText="1"/>
    </xf>
    <xf borderId="0" fillId="12" fontId="18" numFmtId="0" xfId="0" applyAlignment="1" applyFill="1" applyFont="1">
      <alignment horizontal="center" readingOrder="0" vertical="center"/>
    </xf>
    <xf borderId="22" fillId="8" fontId="2" numFmtId="164" xfId="0" applyAlignment="1" applyBorder="1" applyFill="1" applyFont="1" applyNumberFormat="1">
      <alignment horizontal="center" readingOrder="0" shrinkToFit="0" vertical="center" wrapText="1"/>
    </xf>
    <xf borderId="24" fillId="8" fontId="2" numFmtId="164" xfId="0" applyAlignment="1" applyBorder="1" applyFill="1" applyFont="1" applyNumberFormat="1">
      <alignment horizontal="center" readingOrder="0" shrinkToFit="0" vertical="center" wrapText="1"/>
    </xf>
    <xf borderId="12" fillId="8" fontId="2" numFmtId="164" xfId="0" applyAlignment="1" applyBorder="1" applyFill="1" applyFont="1" applyNumberFormat="1">
      <alignment horizontal="center" readingOrder="0" shrinkToFit="0" vertical="center" wrapText="1"/>
    </xf>
    <xf borderId="0" fillId="12" fontId="14" numFmtId="0" xfId="0" applyAlignment="1" applyFill="1" applyFont="1">
      <alignment horizontal="center" readingOrder="0" vertical="center"/>
    </xf>
    <xf borderId="22" fillId="0" fontId="2" numFmtId="164" xfId="0" applyAlignment="1" applyBorder="1" applyFont="1" applyNumberFormat="1">
      <alignment horizontal="center" readingOrder="0" shrinkToFit="0" vertical="center" wrapText="1"/>
    </xf>
    <xf borderId="24" fillId="0" fontId="2" numFmtId="164" xfId="0" applyAlignment="1" applyBorder="1" applyFont="1" applyNumberFormat="1">
      <alignment horizontal="center" readingOrder="0" shrinkToFit="0" vertical="center" wrapText="1"/>
    </xf>
    <xf borderId="25" fillId="8" fontId="2" numFmtId="164" xfId="0" applyAlignment="1" applyBorder="1" applyFill="1" applyFont="1" applyNumberFormat="1">
      <alignment horizontal="center" readingOrder="0" shrinkToFit="0" vertical="center" wrapText="1"/>
    </xf>
    <xf borderId="26" fillId="8" fontId="2" numFmtId="164" xfId="0" applyAlignment="1" applyBorder="1" applyFill="1" applyFont="1" applyNumberFormat="1">
      <alignment horizontal="center" readingOrder="0" shrinkToFit="0" vertical="center" wrapText="1"/>
    </xf>
    <xf borderId="27" fillId="0" fontId="2" numFmtId="164" xfId="0" applyAlignment="1" applyBorder="1" applyFont="1" applyNumberFormat="1">
      <alignment horizontal="center" readingOrder="0" shrinkToFit="0" vertical="center" wrapText="1"/>
    </xf>
    <xf borderId="28" fillId="0" fontId="2" numFmtId="164" xfId="0" applyAlignment="1" applyBorder="1" applyFont="1" applyNumberFormat="1">
      <alignment horizontal="center" readingOrder="0" shrinkToFit="0" vertical="center" wrapText="1"/>
    </xf>
    <xf borderId="23" fillId="8" fontId="2" numFmtId="164" xfId="0" applyAlignment="1" applyBorder="1" applyFill="1" applyFont="1" applyNumberForma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เอกสารระบบที่พัก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ใบรายงาน (Report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G13" displayName="ตาราง2" name="ตาราง2" id="2">
  <tableColumns count="7">
    <tableColumn name="ชื่อเอกสาร" id="1"/>
    <tableColumn name="หมวดหมู่/ประเภท" id="2"/>
    <tableColumn name="ใช้ตอนไหน " id="3"/>
    <tableColumn name="รูปแบบการโต้ตอบ " id="4"/>
    <tableColumn name="ข้อมูลที่ต้องกรอก/แสดง " id="5"/>
    <tableColumn name="Template/Format" id="6"/>
    <tableColumn name="หมายเหตุ " id="7"/>
  </tableColumns>
  <tableStyleInfo name="เอกสารระบบที่พัก-style" showColumnStripes="0" showFirstColumn="1" showLastColumn="1" showRowStripes="1"/>
</table>
</file>

<file path=xl/tables/table2.xml><?xml version="1.0" encoding="utf-8"?>
<table xmlns="http://schemas.openxmlformats.org/spreadsheetml/2006/main" ref="A4:H17" displayName="ตาราง1" name="ตาราง1" id="1">
  <tableColumns count="8">
    <tableColumn name="ชื่อรายงาน" id="1"/>
    <tableColumn name="ประเภทของรายงาน" id="2"/>
    <tableColumn name="วิธีการกรองข้อมูล" id="3"/>
    <tableColumn name="ข้อมูลที่จะแสดงในรายงาน " id="4"/>
    <tableColumn name="รูปแบบผลลัพธ์ " id="5"/>
    <tableColumn name="ความถี่การใช้งาน " id="6"/>
    <tableColumn name="ผู้ใช้งาน (หลัก)" id="7"/>
    <tableColumn name="หมายเหตุ" id="8"/>
  </tableColumns>
  <tableStyleInfo name="ใบรายงาน (Report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6.14"/>
    <col customWidth="1" min="2" max="2" width="38.43"/>
    <col customWidth="1" min="3" max="3" width="41.86"/>
    <col customWidth="1" min="4" max="4" width="38.43"/>
    <col customWidth="1" min="5" max="5" width="61.43"/>
    <col customWidth="1" min="6" max="6" width="38.43"/>
    <col customWidth="1" min="7" max="7" width="68.14"/>
    <col customWidth="1" min="8" max="25" width="38.43"/>
  </cols>
  <sheetData>
    <row r="1">
      <c r="A1" s="13" t="s">
        <v>7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ht="18.0" customHeight="1">
      <c r="A2" s="16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ht="33.75" customHeight="1">
      <c r="A4" s="25" t="s">
        <v>21</v>
      </c>
      <c r="B4" s="25" t="s">
        <v>26</v>
      </c>
      <c r="C4" s="25" t="s">
        <v>27</v>
      </c>
      <c r="D4" s="25" t="s">
        <v>28</v>
      </c>
      <c r="E4" s="25" t="s">
        <v>29</v>
      </c>
      <c r="F4" s="25" t="s">
        <v>30</v>
      </c>
      <c r="G4" s="25" t="s">
        <v>32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ht="168.0" customHeight="1">
      <c r="A5" s="32" t="s">
        <v>36</v>
      </c>
      <c r="B5" s="36" t="s">
        <v>46</v>
      </c>
      <c r="C5" s="47" t="s">
        <v>56</v>
      </c>
      <c r="D5" s="36" t="s">
        <v>67</v>
      </c>
      <c r="E5" s="47" t="s">
        <v>69</v>
      </c>
      <c r="F5" s="51" t="s">
        <v>70</v>
      </c>
      <c r="G5" s="47" t="s">
        <v>74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ht="79.5" customHeight="1">
      <c r="A6" s="65" t="s">
        <v>79</v>
      </c>
      <c r="B6" s="68" t="s">
        <v>80</v>
      </c>
      <c r="C6" s="70" t="s">
        <v>56</v>
      </c>
      <c r="D6" s="68" t="s">
        <v>83</v>
      </c>
      <c r="E6" s="70" t="s">
        <v>84</v>
      </c>
      <c r="F6" s="72" t="s">
        <v>85</v>
      </c>
      <c r="G6" s="70" t="s">
        <v>74</v>
      </c>
      <c r="H6" s="7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ht="75.75" customHeight="1">
      <c r="A7" s="32" t="s">
        <v>90</v>
      </c>
      <c r="B7" s="36" t="s">
        <v>93</v>
      </c>
      <c r="C7" s="47" t="s">
        <v>56</v>
      </c>
      <c r="D7" s="36" t="s">
        <v>83</v>
      </c>
      <c r="E7" s="47" t="s">
        <v>95</v>
      </c>
      <c r="F7" s="51" t="s">
        <v>96</v>
      </c>
      <c r="G7" s="47" t="s">
        <v>74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ht="205.5" customHeight="1">
      <c r="A8" s="65" t="s">
        <v>101</v>
      </c>
      <c r="B8" s="68" t="s">
        <v>104</v>
      </c>
      <c r="C8" s="70" t="s">
        <v>105</v>
      </c>
      <c r="D8" s="68" t="s">
        <v>107</v>
      </c>
      <c r="E8" s="70" t="s">
        <v>108</v>
      </c>
      <c r="F8" s="72" t="s">
        <v>109</v>
      </c>
      <c r="G8" s="47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ht="205.5" customHeight="1">
      <c r="A9" s="32" t="s">
        <v>113</v>
      </c>
      <c r="B9" s="36" t="s">
        <v>104</v>
      </c>
      <c r="C9" s="47" t="s">
        <v>114</v>
      </c>
      <c r="D9" s="36" t="s">
        <v>107</v>
      </c>
      <c r="E9" s="78" t="s">
        <v>108</v>
      </c>
      <c r="F9" s="51" t="s">
        <v>109</v>
      </c>
      <c r="G9" s="80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ht="145.5" customHeight="1">
      <c r="A10" s="65" t="s">
        <v>128</v>
      </c>
      <c r="B10" s="68" t="s">
        <v>130</v>
      </c>
      <c r="C10" s="70" t="s">
        <v>131</v>
      </c>
      <c r="D10" s="68" t="s">
        <v>107</v>
      </c>
      <c r="E10" s="70" t="s">
        <v>135</v>
      </c>
      <c r="F10" s="72" t="s">
        <v>109</v>
      </c>
      <c r="G10" s="91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ht="135.75" customHeight="1">
      <c r="A11" s="95" t="s">
        <v>137</v>
      </c>
      <c r="B11" s="96" t="s">
        <v>130</v>
      </c>
      <c r="C11" s="78" t="s">
        <v>144</v>
      </c>
      <c r="D11" s="96" t="s">
        <v>107</v>
      </c>
      <c r="E11" s="78" t="s">
        <v>146</v>
      </c>
      <c r="F11" s="98" t="s">
        <v>109</v>
      </c>
      <c r="G11" s="99"/>
      <c r="H11" s="7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ht="83.25" customHeight="1">
      <c r="A12" s="65" t="s">
        <v>150</v>
      </c>
      <c r="B12" s="68" t="s">
        <v>151</v>
      </c>
      <c r="C12" s="70" t="s">
        <v>152</v>
      </c>
      <c r="D12" s="68" t="s">
        <v>153</v>
      </c>
      <c r="E12" s="70" t="s">
        <v>154</v>
      </c>
      <c r="F12" s="72" t="s">
        <v>109</v>
      </c>
      <c r="G12" s="91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ht="90.75" customHeight="1">
      <c r="A13" s="32" t="s">
        <v>155</v>
      </c>
      <c r="B13" s="36" t="s">
        <v>156</v>
      </c>
      <c r="C13" s="47" t="s">
        <v>157</v>
      </c>
      <c r="D13" s="36" t="s">
        <v>153</v>
      </c>
      <c r="E13" s="47" t="s">
        <v>158</v>
      </c>
      <c r="F13" s="51" t="s">
        <v>109</v>
      </c>
      <c r="G13" s="80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ht="30.0" customHeight="1">
      <c r="A14" s="107"/>
      <c r="B14" s="107"/>
      <c r="C14" s="107"/>
      <c r="D14" s="107"/>
      <c r="E14" s="107"/>
      <c r="F14" s="107"/>
      <c r="G14" s="107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ht="30.0" customHeight="1">
      <c r="A15" s="107"/>
      <c r="B15" s="107"/>
      <c r="C15" s="107"/>
      <c r="D15" s="107"/>
      <c r="E15" s="107"/>
      <c r="F15" s="107"/>
      <c r="G15" s="107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ht="30.0" customHeight="1">
      <c r="A16" s="107"/>
      <c r="B16" s="107"/>
      <c r="C16" s="107"/>
      <c r="D16" s="107"/>
      <c r="E16" s="107"/>
      <c r="F16" s="107"/>
      <c r="G16" s="107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ht="30.0" customHeight="1">
      <c r="A17" s="107"/>
      <c r="B17" s="107"/>
      <c r="C17" s="107"/>
      <c r="D17" s="107"/>
      <c r="E17" s="107"/>
      <c r="F17" s="107"/>
      <c r="G17" s="107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ht="30.0" customHeight="1">
      <c r="A18" s="107"/>
      <c r="B18" s="107"/>
      <c r="C18" s="107"/>
      <c r="D18" s="107"/>
      <c r="E18" s="107"/>
      <c r="F18" s="107"/>
      <c r="G18" s="107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ht="30.0" customHeight="1">
      <c r="A19" s="107"/>
      <c r="B19" s="107"/>
      <c r="C19" s="107"/>
      <c r="D19" s="107"/>
      <c r="E19" s="107"/>
      <c r="F19" s="107"/>
      <c r="G19" s="107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</sheetData>
  <mergeCells count="2">
    <mergeCell ref="A1:G1"/>
    <mergeCell ref="A2:G2"/>
  </mergeCells>
  <dataValidations>
    <dataValidation type="list" allowBlank="1" sqref="D5:D13">
      <formula1>"View only,Sign,Print,Upload,View + Print,View + Sign,View + Sign + Upload,ดูและกดยินยอม,View + Print + Sign"</formula1>
    </dataValidation>
    <dataValidation type="list" allowBlank="1" sqref="B14:B19">
      <formula1>"เอกสารยืนยันตัวตน,เอกสารการเข้าพัก,เอกสารการเงิน,เอกสารกฎระเบียบ,เอกสารบำรุงรักษา/แจ้งซ่อม,อื่นๆ,เอกสารประกอบจอง"</formula1>
    </dataValidation>
    <dataValidation type="list" allowBlank="1" sqref="D14:D19">
      <formula1>"View only,Sign,Print,Upload,View + Print,View + Sign,View + Sign + Upload,ดูและกดยินยอม"</formula1>
    </dataValidation>
    <dataValidation type="list" allowBlank="1" sqref="B5:B13">
      <formula1>"เอกสารยืนยันตัวตน,เอกสารการเข้าพัก,เอกสารการเงิน,เอกสารกฎระเบียบ,เอกสารบำรุงรักษา/แจ้งซ่อม,อื่นๆ,เอกสารประกอบจอง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4.29"/>
    <col customWidth="1" min="2" max="2" width="32.43"/>
    <col customWidth="1" min="3" max="3" width="39.14"/>
    <col customWidth="1" min="4" max="4" width="61.14"/>
    <col customWidth="1" min="5" max="5" width="51.71"/>
    <col customWidth="1" min="6" max="6" width="27.71"/>
    <col customWidth="1" min="7" max="7" width="42.0"/>
    <col customWidth="1" min="8" max="26" width="53.71"/>
  </cols>
  <sheetData>
    <row r="1">
      <c r="A1" s="13" t="s">
        <v>8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8.0" customHeight="1">
      <c r="A2" s="16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3.75" customHeight="1">
      <c r="A4" s="25" t="s">
        <v>23</v>
      </c>
      <c r="B4" s="29" t="s">
        <v>31</v>
      </c>
      <c r="C4" s="29" t="s">
        <v>35</v>
      </c>
      <c r="D4" s="29" t="s">
        <v>38</v>
      </c>
      <c r="E4" s="29" t="s">
        <v>40</v>
      </c>
      <c r="F4" s="29" t="s">
        <v>42</v>
      </c>
      <c r="G4" s="29" t="s">
        <v>45</v>
      </c>
      <c r="H4" s="25" t="s">
        <v>47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68.25" customHeight="1">
      <c r="A5" s="46" t="s">
        <v>49</v>
      </c>
      <c r="B5" s="49" t="s">
        <v>66</v>
      </c>
      <c r="C5" s="50" t="s">
        <v>68</v>
      </c>
      <c r="D5" s="50" t="s">
        <v>71</v>
      </c>
      <c r="E5" s="49" t="s">
        <v>72</v>
      </c>
      <c r="F5" s="53" t="s">
        <v>73</v>
      </c>
      <c r="G5" s="55" t="s">
        <v>75</v>
      </c>
      <c r="H5" s="58" t="s">
        <v>77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68.25" customHeight="1">
      <c r="A6" s="64" t="s">
        <v>78</v>
      </c>
      <c r="B6" s="67" t="s">
        <v>66</v>
      </c>
      <c r="C6" s="69" t="s">
        <v>68</v>
      </c>
      <c r="D6" s="50" t="s">
        <v>82</v>
      </c>
      <c r="E6" s="67" t="s">
        <v>72</v>
      </c>
      <c r="F6" s="71" t="s">
        <v>73</v>
      </c>
      <c r="G6" s="55" t="s">
        <v>75</v>
      </c>
      <c r="H6" s="58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68.25" customHeight="1">
      <c r="A7" s="46" t="s">
        <v>86</v>
      </c>
      <c r="B7" s="49" t="s">
        <v>87</v>
      </c>
      <c r="C7" s="50" t="s">
        <v>88</v>
      </c>
      <c r="D7" s="50" t="s">
        <v>89</v>
      </c>
      <c r="E7" s="49" t="s">
        <v>91</v>
      </c>
      <c r="F7" s="53" t="s">
        <v>73</v>
      </c>
      <c r="G7" s="55" t="s">
        <v>92</v>
      </c>
      <c r="H7" s="58" t="s">
        <v>94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68.25" customHeight="1">
      <c r="A8" s="74" t="s">
        <v>97</v>
      </c>
      <c r="B8" s="67" t="s">
        <v>98</v>
      </c>
      <c r="C8" s="69" t="s">
        <v>68</v>
      </c>
      <c r="D8" s="69" t="s">
        <v>99</v>
      </c>
      <c r="E8" s="67" t="s">
        <v>100</v>
      </c>
      <c r="F8" s="71" t="s">
        <v>102</v>
      </c>
      <c r="G8" s="58" t="s">
        <v>103</v>
      </c>
      <c r="H8" s="58" t="s">
        <v>106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68.25" customHeight="1">
      <c r="A9" s="77" t="s">
        <v>112</v>
      </c>
      <c r="B9" s="49" t="s">
        <v>87</v>
      </c>
      <c r="C9" s="50" t="s">
        <v>115</v>
      </c>
      <c r="D9" s="50" t="s">
        <v>116</v>
      </c>
      <c r="E9" s="49" t="s">
        <v>118</v>
      </c>
      <c r="F9" s="53" t="s">
        <v>120</v>
      </c>
      <c r="G9" s="58" t="s">
        <v>126</v>
      </c>
      <c r="H9" s="58" t="s">
        <v>129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68.25" customHeight="1">
      <c r="A10" s="64" t="s">
        <v>136</v>
      </c>
      <c r="B10" s="94" t="s">
        <v>66</v>
      </c>
      <c r="C10" s="69" t="s">
        <v>139</v>
      </c>
      <c r="D10" s="69" t="s">
        <v>140</v>
      </c>
      <c r="E10" s="94" t="s">
        <v>141</v>
      </c>
      <c r="F10" s="71" t="s">
        <v>73</v>
      </c>
      <c r="G10" s="55" t="s">
        <v>143</v>
      </c>
      <c r="H10" s="55" t="s">
        <v>145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68.25" customHeight="1">
      <c r="A11" s="103" t="s">
        <v>149</v>
      </c>
      <c r="B11" s="105" t="s">
        <v>66</v>
      </c>
      <c r="C11" s="50" t="s">
        <v>115</v>
      </c>
      <c r="D11" s="50" t="s">
        <v>160</v>
      </c>
      <c r="E11" s="109" t="s">
        <v>141</v>
      </c>
      <c r="F11" s="53" t="s">
        <v>73</v>
      </c>
      <c r="G11" s="55" t="s">
        <v>163</v>
      </c>
      <c r="H11" s="58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99.75" customHeight="1">
      <c r="A12" s="64" t="s">
        <v>169</v>
      </c>
      <c r="B12" s="94" t="s">
        <v>66</v>
      </c>
      <c r="C12" s="69" t="s">
        <v>115</v>
      </c>
      <c r="D12" s="69" t="s">
        <v>170</v>
      </c>
      <c r="E12" s="94" t="s">
        <v>141</v>
      </c>
      <c r="F12" s="71" t="s">
        <v>73</v>
      </c>
      <c r="G12" s="55" t="s">
        <v>171</v>
      </c>
      <c r="H12" s="58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68.25" customHeight="1">
      <c r="A13" s="117" t="s">
        <v>172</v>
      </c>
      <c r="B13" s="109" t="s">
        <v>87</v>
      </c>
      <c r="C13" s="50" t="s">
        <v>173</v>
      </c>
      <c r="D13" s="118" t="s">
        <v>174</v>
      </c>
      <c r="E13" s="109" t="s">
        <v>141</v>
      </c>
      <c r="F13" s="118" t="s">
        <v>175</v>
      </c>
      <c r="G13" s="55" t="s">
        <v>176</v>
      </c>
      <c r="H13" s="58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68.25" customHeight="1">
      <c r="A14" s="119" t="s">
        <v>177</v>
      </c>
      <c r="B14" s="94" t="s">
        <v>98</v>
      </c>
      <c r="C14" s="69" t="s">
        <v>115</v>
      </c>
      <c r="D14" s="69" t="s">
        <v>178</v>
      </c>
      <c r="E14" s="94" t="s">
        <v>141</v>
      </c>
      <c r="F14" s="69" t="s">
        <v>175</v>
      </c>
      <c r="G14" s="55" t="s">
        <v>176</v>
      </c>
      <c r="H14" s="58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68.25" customHeight="1">
      <c r="A15" s="120" t="s">
        <v>179</v>
      </c>
      <c r="B15" s="109" t="s">
        <v>180</v>
      </c>
      <c r="C15" s="50" t="s">
        <v>115</v>
      </c>
      <c r="D15" s="118" t="s">
        <v>181</v>
      </c>
      <c r="E15" s="109" t="s">
        <v>141</v>
      </c>
      <c r="F15" s="118" t="s">
        <v>175</v>
      </c>
      <c r="G15" s="55" t="s">
        <v>182</v>
      </c>
      <c r="H15" s="58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68.25" customHeight="1">
      <c r="A16" s="64" t="s">
        <v>183</v>
      </c>
      <c r="B16" s="94" t="s">
        <v>98</v>
      </c>
      <c r="C16" s="69" t="s">
        <v>184</v>
      </c>
      <c r="D16" s="69" t="s">
        <v>185</v>
      </c>
      <c r="E16" s="94" t="s">
        <v>141</v>
      </c>
      <c r="F16" s="69" t="s">
        <v>175</v>
      </c>
      <c r="G16" s="55" t="s">
        <v>143</v>
      </c>
      <c r="H16" s="58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30.0" customHeight="1">
      <c r="A17" s="121" t="s">
        <v>186</v>
      </c>
      <c r="B17" s="122"/>
      <c r="C17" s="123"/>
      <c r="D17" s="123"/>
      <c r="E17" s="122"/>
      <c r="F17" s="124"/>
      <c r="G17" s="125"/>
      <c r="H17" s="126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30.0" customHeight="1">
      <c r="A18" s="127"/>
      <c r="B18" s="127"/>
      <c r="E18" s="127"/>
      <c r="F18" s="127"/>
      <c r="G18" s="128"/>
      <c r="H18" s="128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30.0" customHeight="1">
      <c r="A19" s="127"/>
      <c r="B19" s="127"/>
      <c r="E19" s="127"/>
      <c r="F19" s="127"/>
      <c r="G19" s="128"/>
      <c r="H19" s="128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30.0" customHeight="1">
      <c r="A20" s="127"/>
      <c r="B20" s="127"/>
      <c r="E20" s="127"/>
      <c r="F20" s="127"/>
      <c r="G20" s="128"/>
      <c r="H20" s="128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30.0" customHeight="1">
      <c r="A21" s="129"/>
      <c r="B21" s="129"/>
      <c r="C21" s="130"/>
      <c r="D21" s="129"/>
      <c r="E21" s="129"/>
      <c r="F21" s="129"/>
      <c r="G21" s="131"/>
      <c r="H21" s="131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32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32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3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32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32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32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2">
    <mergeCell ref="A1:H1"/>
    <mergeCell ref="A2:H2"/>
  </mergeCells>
  <dataValidations>
    <dataValidation type="list" allowBlank="1" sqref="E5:E17">
      <formula1>"ดูหน้าจอ,Export PDF,Export Excel,ดูหน้าจอ + Export PDF/Excel,Print,ดูหน้าจอ + Export PDF/Excel + Print"</formula1>
    </dataValidation>
    <dataValidation type="list" allowBlank="1" sqref="B18:B21">
      <formula1>"รายงานปฏิบัติการรายวัน,รายงานการเงิน,รายงานบริหารจัดการ,รายงานบำรุงรักษา,อื่นๆ"</formula1>
    </dataValidation>
    <dataValidation type="list" allowBlank="1" sqref="B5:B17">
      <formula1>"รายงานปฏิบัติการรายวัน,รายงานการเงิน,รายงานบริหารจัดการ,รายงานบำรุงรักษา,อื่นๆ"</formula1>
    </dataValidation>
    <dataValidation type="list" allowBlank="1" sqref="E18:E21">
      <formula1>"ดูหน้าจอ,Export PDF,Export Excel,ดูหน้าจอ + Export PDF/Excel,Print"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27.71"/>
    <col customWidth="1" min="3" max="3" width="31.14"/>
    <col customWidth="1" min="4" max="4" width="44.57"/>
    <col customWidth="1" min="5" max="5" width="31.43"/>
    <col customWidth="1" min="6" max="6" width="25.71"/>
    <col customWidth="1" min="7" max="7" width="23.14"/>
    <col customWidth="1" min="8" max="8" width="19.86"/>
    <col customWidth="1" min="9" max="12" width="25.0"/>
    <col customWidth="1" min="13" max="13" width="50.43"/>
  </cols>
  <sheetData>
    <row r="1" ht="37.5" customHeight="1">
      <c r="A1" s="1" t="s">
        <v>1</v>
      </c>
      <c r="B1" s="3"/>
      <c r="D1" s="4" t="s">
        <v>3</v>
      </c>
    </row>
    <row r="2" ht="23.25" customHeight="1">
      <c r="A2" s="2" t="s">
        <v>2</v>
      </c>
      <c r="B2" s="5">
        <v>244603.0</v>
      </c>
      <c r="F2" s="3"/>
      <c r="G2" s="3"/>
      <c r="H2" s="3"/>
      <c r="I2" s="3"/>
      <c r="J2" s="3"/>
      <c r="K2" s="3"/>
      <c r="L2" s="3"/>
    </row>
    <row r="3" ht="53.25" customHeight="1">
      <c r="A3" s="2" t="s">
        <v>4</v>
      </c>
      <c r="B3" s="6" t="s">
        <v>5</v>
      </c>
      <c r="F3" s="3"/>
      <c r="G3" s="3"/>
      <c r="H3" s="3"/>
      <c r="I3" s="3"/>
      <c r="J3" s="3"/>
      <c r="K3" s="3"/>
      <c r="L3" s="3"/>
    </row>
    <row r="4" ht="23.25" customHeight="1">
      <c r="A4" s="7"/>
      <c r="B4" s="8"/>
      <c r="C4" s="9"/>
      <c r="D4" s="9"/>
      <c r="E4" s="9"/>
      <c r="F4" s="3"/>
      <c r="G4" s="3"/>
      <c r="H4" s="3"/>
      <c r="I4" s="3"/>
      <c r="J4" s="3"/>
      <c r="K4" s="3"/>
      <c r="L4" s="3"/>
      <c r="O4" s="10"/>
    </row>
    <row r="5" ht="47.25" customHeight="1">
      <c r="A5" s="12" t="s">
        <v>6</v>
      </c>
      <c r="B5" s="18" t="s">
        <v>9</v>
      </c>
      <c r="C5" s="18" t="s">
        <v>22</v>
      </c>
      <c r="D5" s="18" t="s">
        <v>10</v>
      </c>
      <c r="E5" s="18" t="s">
        <v>11</v>
      </c>
      <c r="F5" s="18" t="s">
        <v>12</v>
      </c>
      <c r="G5" s="18" t="s">
        <v>13</v>
      </c>
      <c r="H5" s="18" t="s">
        <v>14</v>
      </c>
      <c r="I5" s="18" t="s">
        <v>15</v>
      </c>
      <c r="J5" s="18" t="s">
        <v>16</v>
      </c>
      <c r="K5" s="18" t="s">
        <v>17</v>
      </c>
      <c r="L5" s="18" t="s">
        <v>18</v>
      </c>
      <c r="M5" s="21" t="s">
        <v>19</v>
      </c>
    </row>
    <row r="6" ht="23.25" customHeight="1">
      <c r="A6" s="23" t="s">
        <v>24</v>
      </c>
      <c r="B6" s="22"/>
      <c r="C6" s="20"/>
      <c r="D6" s="20"/>
      <c r="E6" s="20"/>
      <c r="F6" s="22"/>
      <c r="G6" s="22"/>
      <c r="H6" s="22"/>
      <c r="I6" s="22"/>
      <c r="J6" s="22"/>
      <c r="K6" s="22"/>
      <c r="L6" s="22"/>
      <c r="M6" s="24"/>
    </row>
    <row r="7" ht="27.75" customHeight="1">
      <c r="A7" s="31" t="s">
        <v>25</v>
      </c>
      <c r="B7" s="45">
        <v>501.0</v>
      </c>
      <c r="C7" s="28" t="b">
        <v>0</v>
      </c>
      <c r="D7" s="28" t="s">
        <v>33</v>
      </c>
      <c r="E7" s="6" t="s">
        <v>34</v>
      </c>
      <c r="F7" s="5">
        <v>244603.0</v>
      </c>
      <c r="G7" s="5">
        <v>244604.0</v>
      </c>
      <c r="H7" s="45">
        <v>1.0</v>
      </c>
      <c r="I7" s="45">
        <v>1000.0</v>
      </c>
      <c r="J7" s="45">
        <v>1000.0</v>
      </c>
      <c r="K7" s="45">
        <v>0.0</v>
      </c>
      <c r="L7" s="45"/>
      <c r="M7" s="48"/>
    </row>
    <row r="8" ht="27.75" customHeight="1">
      <c r="A8" s="31" t="s">
        <v>25</v>
      </c>
      <c r="B8" s="45">
        <v>502.0</v>
      </c>
      <c r="C8" s="45" t="b">
        <v>0</v>
      </c>
      <c r="D8" s="45" t="s">
        <v>37</v>
      </c>
      <c r="E8" s="6" t="s">
        <v>34</v>
      </c>
      <c r="F8" s="5">
        <v>244603.0</v>
      </c>
      <c r="G8" s="5">
        <v>244605.0</v>
      </c>
      <c r="H8" s="45">
        <v>2.0</v>
      </c>
      <c r="I8" s="45">
        <v>1000.0</v>
      </c>
      <c r="J8" s="45">
        <v>1000.0</v>
      </c>
      <c r="K8" s="45">
        <v>0.0</v>
      </c>
      <c r="L8" s="45"/>
      <c r="M8" s="48"/>
    </row>
    <row r="9" ht="27.75" customHeight="1">
      <c r="A9" s="31" t="s">
        <v>25</v>
      </c>
      <c r="B9" s="45">
        <v>503.0</v>
      </c>
      <c r="C9" s="45" t="b">
        <v>0</v>
      </c>
      <c r="D9" s="45" t="s">
        <v>39</v>
      </c>
      <c r="E9" s="6" t="s">
        <v>34</v>
      </c>
      <c r="F9" s="5">
        <v>244603.0</v>
      </c>
      <c r="G9" s="5">
        <v>244605.0</v>
      </c>
      <c r="H9" s="45">
        <v>2.0</v>
      </c>
      <c r="I9" s="45">
        <v>1000.0</v>
      </c>
      <c r="J9" s="45">
        <v>1000.0</v>
      </c>
      <c r="K9" s="45">
        <v>0.0</v>
      </c>
      <c r="L9" s="45" t="s">
        <v>41</v>
      </c>
      <c r="M9" s="48"/>
    </row>
    <row r="10" ht="27.75" customHeight="1">
      <c r="A10" s="31" t="s">
        <v>25</v>
      </c>
      <c r="B10" s="45">
        <v>504.0</v>
      </c>
      <c r="C10" s="45" t="b">
        <v>0</v>
      </c>
      <c r="D10" s="45" t="s">
        <v>39</v>
      </c>
      <c r="E10" s="6" t="s">
        <v>34</v>
      </c>
      <c r="F10" s="5">
        <v>244603.0</v>
      </c>
      <c r="G10" s="5">
        <v>244605.0</v>
      </c>
      <c r="H10" s="45">
        <v>2.0</v>
      </c>
      <c r="I10" s="45">
        <v>1000.0</v>
      </c>
      <c r="J10" s="45">
        <v>1000.0</v>
      </c>
      <c r="K10" s="45">
        <v>0.0</v>
      </c>
      <c r="L10" s="45" t="s">
        <v>43</v>
      </c>
      <c r="M10" s="48"/>
    </row>
    <row r="11" ht="27.75" customHeight="1">
      <c r="A11" s="31" t="s">
        <v>25</v>
      </c>
      <c r="B11" s="45">
        <v>510.0</v>
      </c>
      <c r="C11" s="45" t="b">
        <v>0</v>
      </c>
      <c r="D11" s="45" t="s">
        <v>39</v>
      </c>
      <c r="E11" s="45" t="s">
        <v>44</v>
      </c>
      <c r="F11" s="5">
        <v>244603.0</v>
      </c>
      <c r="G11" s="5">
        <v>244605.0</v>
      </c>
      <c r="H11" s="45">
        <v>2.0</v>
      </c>
      <c r="I11" s="45">
        <v>1200.0</v>
      </c>
      <c r="J11" s="45">
        <v>1200.0</v>
      </c>
      <c r="K11" s="45">
        <v>0.0</v>
      </c>
      <c r="L11" s="45"/>
      <c r="M11" s="48"/>
    </row>
    <row r="12" ht="27.75" customHeight="1">
      <c r="A12" s="31" t="s">
        <v>25</v>
      </c>
      <c r="B12" s="45">
        <v>710.0</v>
      </c>
      <c r="C12" s="45" t="b">
        <v>0</v>
      </c>
      <c r="D12" s="45" t="s">
        <v>39</v>
      </c>
      <c r="E12" s="45" t="s">
        <v>44</v>
      </c>
      <c r="F12" s="5">
        <v>244603.0</v>
      </c>
      <c r="G12" s="5">
        <v>244604.0</v>
      </c>
      <c r="H12" s="45">
        <v>1.0</v>
      </c>
      <c r="I12" s="45">
        <v>1200.0</v>
      </c>
      <c r="J12" s="45">
        <v>1200.0</v>
      </c>
      <c r="K12" s="45">
        <v>0.0</v>
      </c>
      <c r="L12" s="52"/>
      <c r="M12" s="54"/>
    </row>
    <row r="13" ht="27.75" customHeight="1">
      <c r="A13" s="31" t="s">
        <v>25</v>
      </c>
      <c r="B13" s="45">
        <v>711.0</v>
      </c>
      <c r="C13" s="45" t="b">
        <v>1</v>
      </c>
      <c r="D13" s="45" t="s">
        <v>48</v>
      </c>
      <c r="E13" s="45" t="s">
        <v>44</v>
      </c>
      <c r="F13" s="5">
        <v>244603.0</v>
      </c>
      <c r="G13" s="5">
        <v>244604.0</v>
      </c>
      <c r="H13" s="45">
        <v>1.0</v>
      </c>
      <c r="I13" s="45">
        <v>1000.0</v>
      </c>
      <c r="J13" s="45">
        <v>0.0</v>
      </c>
      <c r="K13" s="45">
        <v>0.0</v>
      </c>
      <c r="L13" s="52"/>
      <c r="M13" s="54"/>
    </row>
    <row r="14" ht="23.25" customHeight="1">
      <c r="A14" s="56" t="s">
        <v>76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9"/>
    </row>
    <row r="15" ht="32.25" customHeight="1">
      <c r="A15" s="31" t="s">
        <v>25</v>
      </c>
      <c r="B15" s="45">
        <v>716.0</v>
      </c>
      <c r="C15" s="45" t="b">
        <v>0</v>
      </c>
      <c r="D15" s="45" t="s">
        <v>50</v>
      </c>
      <c r="E15" s="45" t="s">
        <v>44</v>
      </c>
      <c r="F15" s="5">
        <v>244603.0</v>
      </c>
      <c r="G15" s="5">
        <v>244604.0</v>
      </c>
      <c r="H15" s="45">
        <v>1.0</v>
      </c>
      <c r="I15" s="45">
        <v>1000.0</v>
      </c>
      <c r="J15" s="45">
        <v>0.0</v>
      </c>
      <c r="K15" s="45">
        <v>1000.0</v>
      </c>
      <c r="L15" s="52"/>
      <c r="M15" s="60" t="s">
        <v>51</v>
      </c>
    </row>
    <row r="16" ht="32.25" customHeight="1">
      <c r="A16" s="31" t="s">
        <v>25</v>
      </c>
      <c r="B16" s="45">
        <v>805.0</v>
      </c>
      <c r="C16" s="45" t="b">
        <v>0</v>
      </c>
      <c r="D16" s="45" t="s">
        <v>52</v>
      </c>
      <c r="E16" s="45" t="s">
        <v>34</v>
      </c>
      <c r="F16" s="5">
        <v>244603.0</v>
      </c>
      <c r="G16" s="5">
        <v>244604.0</v>
      </c>
      <c r="H16" s="45">
        <v>1.0</v>
      </c>
      <c r="I16" s="45">
        <v>800.0</v>
      </c>
      <c r="J16" s="45">
        <v>0.0</v>
      </c>
      <c r="K16" s="45">
        <v>800.0</v>
      </c>
      <c r="L16" s="52"/>
      <c r="M16" s="54"/>
    </row>
    <row r="17" ht="32.25" customHeight="1">
      <c r="A17" s="31" t="s">
        <v>25</v>
      </c>
      <c r="B17" s="45">
        <v>818.0</v>
      </c>
      <c r="C17" s="45" t="b">
        <v>0</v>
      </c>
      <c r="D17" s="45" t="s">
        <v>53</v>
      </c>
      <c r="E17" s="45" t="s">
        <v>54</v>
      </c>
      <c r="F17" s="5">
        <v>244603.0</v>
      </c>
      <c r="G17" s="5">
        <v>244604.0</v>
      </c>
      <c r="H17" s="45">
        <v>1.0</v>
      </c>
      <c r="I17" s="45">
        <v>2000.0</v>
      </c>
      <c r="J17" s="45">
        <v>1000.0</v>
      </c>
      <c r="K17" s="45">
        <v>1000.0</v>
      </c>
      <c r="L17" s="52"/>
      <c r="M17" s="60" t="s">
        <v>51</v>
      </c>
    </row>
    <row r="18" ht="32.25" customHeight="1">
      <c r="A18" s="31" t="s">
        <v>25</v>
      </c>
      <c r="B18" s="45">
        <v>909.0</v>
      </c>
      <c r="C18" s="45" t="b">
        <v>0</v>
      </c>
      <c r="D18" s="45" t="s">
        <v>55</v>
      </c>
      <c r="E18" s="45" t="s">
        <v>44</v>
      </c>
      <c r="F18" s="5">
        <v>244603.0</v>
      </c>
      <c r="G18" s="5">
        <v>244604.0</v>
      </c>
      <c r="H18" s="45">
        <v>1.0</v>
      </c>
      <c r="I18" s="45">
        <v>1700.0</v>
      </c>
      <c r="J18" s="45">
        <v>0.0</v>
      </c>
      <c r="K18" s="45">
        <v>1700.0</v>
      </c>
      <c r="L18" s="52"/>
      <c r="M18" s="60" t="s">
        <v>51</v>
      </c>
    </row>
    <row r="19" ht="32.25" customHeight="1">
      <c r="A19" s="61" t="s">
        <v>25</v>
      </c>
      <c r="B19" s="62">
        <v>919.0</v>
      </c>
      <c r="C19" s="62" t="b">
        <v>0</v>
      </c>
      <c r="D19" s="62" t="s">
        <v>57</v>
      </c>
      <c r="E19" s="62" t="s">
        <v>34</v>
      </c>
      <c r="F19" s="39">
        <v>244603.0</v>
      </c>
      <c r="G19" s="39">
        <v>244604.0</v>
      </c>
      <c r="H19" s="62">
        <v>1.0</v>
      </c>
      <c r="I19" s="62">
        <v>1000.0</v>
      </c>
      <c r="J19" s="62">
        <v>0.0</v>
      </c>
      <c r="K19" s="62">
        <v>1000.0</v>
      </c>
      <c r="L19" s="63"/>
      <c r="M19" s="66"/>
    </row>
    <row r="20" ht="23.25" customHeight="1">
      <c r="A20" s="42"/>
    </row>
    <row r="21" ht="23.25" customHeight="1"/>
    <row r="22" ht="23.25" customHeight="1">
      <c r="A22" s="43" t="s">
        <v>58</v>
      </c>
      <c r="B22" s="43" t="s">
        <v>59</v>
      </c>
      <c r="C22" s="43" t="s">
        <v>81</v>
      </c>
      <c r="D22" s="43" t="s">
        <v>60</v>
      </c>
      <c r="E22" s="43" t="s">
        <v>61</v>
      </c>
      <c r="F22" s="43" t="s">
        <v>62</v>
      </c>
      <c r="G22" s="43" t="s">
        <v>63</v>
      </c>
      <c r="H22" s="43" t="s">
        <v>64</v>
      </c>
      <c r="I22" s="43" t="s">
        <v>65</v>
      </c>
    </row>
    <row r="23" ht="23.25" customHeight="1">
      <c r="A23" s="44"/>
    </row>
    <row r="24" ht="23.25" customHeight="1">
      <c r="A24" s="44"/>
      <c r="B24" s="43"/>
      <c r="C24" s="43"/>
    </row>
    <row r="25" ht="23.25" customHeight="1">
      <c r="A25" s="44"/>
    </row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</sheetData>
  <mergeCells count="1">
    <mergeCell ref="A14:B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27.71"/>
    <col customWidth="1" min="3" max="3" width="44.57"/>
    <col customWidth="1" min="4" max="4" width="31.43"/>
    <col customWidth="1" min="5" max="5" width="25.71"/>
    <col customWidth="1" min="6" max="6" width="23.14"/>
    <col customWidth="1" min="7" max="7" width="19.86"/>
    <col customWidth="1" min="8" max="8" width="22.14"/>
    <col customWidth="1" min="9" max="9" width="22.43"/>
    <col customWidth="1" min="10" max="10" width="21.0"/>
    <col customWidth="1" min="11" max="11" width="25.0"/>
    <col customWidth="1" min="12" max="12" width="50.43"/>
  </cols>
  <sheetData>
    <row r="1" ht="37.5" customHeight="1">
      <c r="A1" s="1" t="s">
        <v>0</v>
      </c>
    </row>
    <row r="2" ht="23.25" customHeight="1">
      <c r="A2" s="2" t="s">
        <v>2</v>
      </c>
      <c r="B2" s="5">
        <v>244605.0</v>
      </c>
      <c r="E2" s="3"/>
      <c r="F2" s="3"/>
      <c r="G2" s="3"/>
      <c r="H2" s="3"/>
      <c r="I2" s="3"/>
      <c r="J2" s="3"/>
      <c r="K2" s="3"/>
    </row>
    <row r="3" ht="23.25" customHeight="1">
      <c r="A3" s="2" t="s">
        <v>4</v>
      </c>
      <c r="B3" s="6" t="s">
        <v>5</v>
      </c>
      <c r="E3" s="3"/>
      <c r="F3" s="3"/>
      <c r="G3" s="3"/>
      <c r="H3" s="3"/>
      <c r="I3" s="3"/>
      <c r="J3" s="3"/>
      <c r="K3" s="3"/>
    </row>
    <row r="4" ht="23.25" customHeight="1">
      <c r="A4" s="7"/>
      <c r="B4" s="8"/>
      <c r="C4" s="9"/>
      <c r="D4" s="9"/>
      <c r="E4" s="3"/>
      <c r="F4" s="3"/>
      <c r="G4" s="3"/>
      <c r="H4" s="3"/>
      <c r="I4" s="3"/>
      <c r="J4" s="3"/>
      <c r="K4" s="3"/>
      <c r="N4" s="10"/>
    </row>
    <row r="5" ht="47.25" customHeight="1">
      <c r="A5" s="11" t="s">
        <v>6</v>
      </c>
      <c r="B5" s="15" t="s">
        <v>9</v>
      </c>
      <c r="C5" s="15" t="s">
        <v>10</v>
      </c>
      <c r="D5" s="15" t="s">
        <v>11</v>
      </c>
      <c r="E5" s="15" t="s">
        <v>12</v>
      </c>
      <c r="F5" s="15" t="s">
        <v>13</v>
      </c>
      <c r="G5" s="15" t="s">
        <v>14</v>
      </c>
      <c r="H5" s="15" t="s">
        <v>15</v>
      </c>
      <c r="I5" s="15" t="s">
        <v>16</v>
      </c>
      <c r="J5" s="15" t="s">
        <v>17</v>
      </c>
      <c r="K5" s="15" t="s">
        <v>18</v>
      </c>
      <c r="L5" s="17" t="s">
        <v>19</v>
      </c>
    </row>
    <row r="6" ht="28.5" customHeight="1">
      <c r="A6" s="19" t="s">
        <v>20</v>
      </c>
      <c r="C6" s="20"/>
      <c r="D6" s="20"/>
      <c r="E6" s="22"/>
      <c r="F6" s="22"/>
      <c r="G6" s="22"/>
      <c r="H6" s="22"/>
      <c r="I6" s="22"/>
      <c r="J6" s="22"/>
      <c r="K6" s="22"/>
      <c r="L6" s="24"/>
    </row>
    <row r="7" ht="27.75" customHeight="1">
      <c r="A7" s="26" t="s">
        <v>25</v>
      </c>
      <c r="B7" s="27">
        <v>501.0</v>
      </c>
      <c r="C7" s="28" t="s">
        <v>33</v>
      </c>
      <c r="D7" s="6" t="s">
        <v>34</v>
      </c>
      <c r="E7" s="5">
        <v>244604.0</v>
      </c>
      <c r="F7" s="5">
        <v>244605.0</v>
      </c>
      <c r="G7" s="27">
        <v>1.0</v>
      </c>
      <c r="H7" s="27">
        <v>1000.0</v>
      </c>
      <c r="I7" s="27">
        <v>1000.0</v>
      </c>
      <c r="J7" s="27">
        <v>0.0</v>
      </c>
      <c r="K7" s="27"/>
      <c r="L7" s="30"/>
    </row>
    <row r="8" ht="27.75" customHeight="1">
      <c r="A8" s="26" t="s">
        <v>25</v>
      </c>
      <c r="B8" s="27">
        <v>502.0</v>
      </c>
      <c r="C8" s="27" t="s">
        <v>37</v>
      </c>
      <c r="D8" s="6" t="s">
        <v>34</v>
      </c>
      <c r="E8" s="5">
        <v>244603.0</v>
      </c>
      <c r="F8" s="5">
        <v>244605.0</v>
      </c>
      <c r="G8" s="27">
        <v>2.0</v>
      </c>
      <c r="H8" s="27">
        <v>1000.0</v>
      </c>
      <c r="I8" s="27">
        <v>1000.0</v>
      </c>
      <c r="J8" s="27">
        <v>0.0</v>
      </c>
      <c r="K8" s="27"/>
      <c r="L8" s="30"/>
    </row>
    <row r="9" ht="27.75" customHeight="1">
      <c r="A9" s="26" t="s">
        <v>25</v>
      </c>
      <c r="B9" s="27">
        <v>503.0</v>
      </c>
      <c r="C9" s="27" t="s">
        <v>39</v>
      </c>
      <c r="D9" s="6" t="s">
        <v>34</v>
      </c>
      <c r="E9" s="5">
        <v>244603.0</v>
      </c>
      <c r="F9" s="5">
        <v>244605.0</v>
      </c>
      <c r="G9" s="27">
        <v>2.0</v>
      </c>
      <c r="H9" s="27">
        <v>1000.0</v>
      </c>
      <c r="I9" s="27">
        <v>1000.0</v>
      </c>
      <c r="J9" s="27">
        <v>0.0</v>
      </c>
      <c r="K9" s="27" t="s">
        <v>41</v>
      </c>
      <c r="L9" s="30"/>
    </row>
    <row r="10" ht="27.75" customHeight="1">
      <c r="A10" s="26" t="s">
        <v>25</v>
      </c>
      <c r="B10" s="27">
        <v>504.0</v>
      </c>
      <c r="C10" s="27" t="s">
        <v>39</v>
      </c>
      <c r="D10" s="6" t="s">
        <v>34</v>
      </c>
      <c r="E10" s="5">
        <v>244603.0</v>
      </c>
      <c r="F10" s="5">
        <v>244605.0</v>
      </c>
      <c r="G10" s="27">
        <v>2.0</v>
      </c>
      <c r="H10" s="27">
        <v>1000.0</v>
      </c>
      <c r="I10" s="27">
        <v>1000.0</v>
      </c>
      <c r="J10" s="27">
        <v>0.0</v>
      </c>
      <c r="K10" s="27" t="s">
        <v>43</v>
      </c>
      <c r="L10" s="30"/>
    </row>
    <row r="11" ht="27.75" customHeight="1">
      <c r="A11" s="26" t="s">
        <v>25</v>
      </c>
      <c r="B11" s="27">
        <v>510.0</v>
      </c>
      <c r="C11" s="27" t="s">
        <v>39</v>
      </c>
      <c r="D11" s="27" t="s">
        <v>44</v>
      </c>
      <c r="E11" s="5">
        <v>244603.0</v>
      </c>
      <c r="F11" s="5">
        <v>244605.0</v>
      </c>
      <c r="G11" s="27">
        <v>2.0</v>
      </c>
      <c r="H11" s="27">
        <v>1200.0</v>
      </c>
      <c r="I11" s="27">
        <v>1200.0</v>
      </c>
      <c r="J11" s="27">
        <v>0.0</v>
      </c>
      <c r="K11" s="27"/>
      <c r="L11" s="30"/>
    </row>
    <row r="12" ht="27.75" customHeight="1">
      <c r="A12" s="26" t="s">
        <v>25</v>
      </c>
      <c r="B12" s="27">
        <v>710.0</v>
      </c>
      <c r="C12" s="27" t="s">
        <v>39</v>
      </c>
      <c r="D12" s="27" t="s">
        <v>44</v>
      </c>
      <c r="E12" s="5">
        <v>244604.0</v>
      </c>
      <c r="F12" s="5">
        <v>244605.0</v>
      </c>
      <c r="G12" s="27">
        <v>1.0</v>
      </c>
      <c r="H12" s="27">
        <v>1200.0</v>
      </c>
      <c r="I12" s="27">
        <v>1200.0</v>
      </c>
      <c r="J12" s="27">
        <v>0.0</v>
      </c>
      <c r="K12" s="33"/>
      <c r="L12" s="34"/>
    </row>
    <row r="13" ht="27.75" customHeight="1">
      <c r="A13" s="26" t="s">
        <v>25</v>
      </c>
      <c r="B13" s="27">
        <v>711.0</v>
      </c>
      <c r="C13" s="27" t="s">
        <v>48</v>
      </c>
      <c r="D13" s="27" t="s">
        <v>44</v>
      </c>
      <c r="E13" s="5">
        <v>244604.0</v>
      </c>
      <c r="F13" s="5">
        <v>244605.0</v>
      </c>
      <c r="G13" s="27">
        <v>1.0</v>
      </c>
      <c r="H13" s="27">
        <v>1000.0</v>
      </c>
      <c r="I13" s="27">
        <v>0.0</v>
      </c>
      <c r="J13" s="27">
        <v>0.0</v>
      </c>
      <c r="K13" s="33"/>
      <c r="L13" s="34"/>
    </row>
    <row r="14" ht="32.25" customHeight="1">
      <c r="A14" s="26" t="s">
        <v>25</v>
      </c>
      <c r="B14" s="27">
        <v>716.0</v>
      </c>
      <c r="C14" s="27" t="s">
        <v>50</v>
      </c>
      <c r="D14" s="27" t="s">
        <v>44</v>
      </c>
      <c r="E14" s="5">
        <v>244604.0</v>
      </c>
      <c r="F14" s="5">
        <v>244605.0</v>
      </c>
      <c r="G14" s="27">
        <v>1.0</v>
      </c>
      <c r="H14" s="27">
        <v>1000.0</v>
      </c>
      <c r="I14" s="27">
        <v>0.0</v>
      </c>
      <c r="J14" s="27">
        <v>1000.0</v>
      </c>
      <c r="K14" s="33"/>
      <c r="L14" s="35" t="s">
        <v>51</v>
      </c>
    </row>
    <row r="15" ht="32.25" customHeight="1">
      <c r="A15" s="26" t="s">
        <v>25</v>
      </c>
      <c r="B15" s="27">
        <v>805.0</v>
      </c>
      <c r="C15" s="27" t="s">
        <v>52</v>
      </c>
      <c r="D15" s="27" t="s">
        <v>34</v>
      </c>
      <c r="E15" s="5">
        <v>244604.0</v>
      </c>
      <c r="F15" s="5">
        <v>244604.0</v>
      </c>
      <c r="G15" s="27">
        <v>1.0</v>
      </c>
      <c r="H15" s="27">
        <v>800.0</v>
      </c>
      <c r="I15" s="27">
        <v>0.0</v>
      </c>
      <c r="J15" s="27">
        <v>800.0</v>
      </c>
      <c r="K15" s="33"/>
      <c r="L15" s="34"/>
    </row>
    <row r="16" ht="32.25" customHeight="1">
      <c r="A16" s="26" t="s">
        <v>25</v>
      </c>
      <c r="B16" s="27">
        <v>818.0</v>
      </c>
      <c r="C16" s="27" t="s">
        <v>53</v>
      </c>
      <c r="D16" s="27" t="s">
        <v>54</v>
      </c>
      <c r="E16" s="5">
        <v>244604.0</v>
      </c>
      <c r="F16" s="5">
        <v>244604.0</v>
      </c>
      <c r="G16" s="27">
        <v>1.0</v>
      </c>
      <c r="H16" s="27">
        <v>2000.0</v>
      </c>
      <c r="I16" s="27">
        <v>1000.0</v>
      </c>
      <c r="J16" s="27">
        <v>1000.0</v>
      </c>
      <c r="K16" s="33"/>
      <c r="L16" s="35" t="s">
        <v>51</v>
      </c>
    </row>
    <row r="17" ht="32.25" customHeight="1">
      <c r="A17" s="26" t="s">
        <v>25</v>
      </c>
      <c r="B17" s="27">
        <v>909.0</v>
      </c>
      <c r="C17" s="27" t="s">
        <v>55</v>
      </c>
      <c r="D17" s="27" t="s">
        <v>44</v>
      </c>
      <c r="E17" s="5">
        <v>244604.0</v>
      </c>
      <c r="F17" s="5">
        <v>244604.0</v>
      </c>
      <c r="G17" s="27">
        <v>1.0</v>
      </c>
      <c r="H17" s="27">
        <v>1700.0</v>
      </c>
      <c r="I17" s="27">
        <v>0.0</v>
      </c>
      <c r="J17" s="27">
        <v>1700.0</v>
      </c>
      <c r="K17" s="33"/>
      <c r="L17" s="35" t="s">
        <v>51</v>
      </c>
    </row>
    <row r="18" ht="32.25" customHeight="1">
      <c r="A18" s="37" t="s">
        <v>25</v>
      </c>
      <c r="B18" s="38">
        <v>919.0</v>
      </c>
      <c r="C18" s="38" t="s">
        <v>57</v>
      </c>
      <c r="D18" s="38" t="s">
        <v>34</v>
      </c>
      <c r="E18" s="39">
        <v>244604.0</v>
      </c>
      <c r="F18" s="39">
        <v>244604.0</v>
      </c>
      <c r="G18" s="38">
        <v>1.0</v>
      </c>
      <c r="H18" s="38">
        <v>1000.0</v>
      </c>
      <c r="I18" s="38">
        <v>0.0</v>
      </c>
      <c r="J18" s="38">
        <v>1000.0</v>
      </c>
      <c r="K18" s="40"/>
      <c r="L18" s="41"/>
    </row>
    <row r="19" ht="23.25" customHeight="1">
      <c r="A19" s="42"/>
    </row>
    <row r="20" ht="23.25" customHeight="1"/>
    <row r="21" ht="23.25" customHeight="1">
      <c r="A21" s="43" t="s">
        <v>58</v>
      </c>
      <c r="B21" s="43" t="s">
        <v>59</v>
      </c>
      <c r="C21" s="43" t="s">
        <v>60</v>
      </c>
      <c r="D21" s="43" t="s">
        <v>61</v>
      </c>
      <c r="E21" s="43" t="s">
        <v>62</v>
      </c>
      <c r="F21" s="43" t="s">
        <v>63</v>
      </c>
      <c r="G21" s="43" t="s">
        <v>64</v>
      </c>
      <c r="H21" s="43" t="s">
        <v>65</v>
      </c>
    </row>
    <row r="22" ht="23.25" customHeight="1">
      <c r="A22" s="44"/>
    </row>
    <row r="23" ht="23.25" customHeight="1">
      <c r="A23" s="44"/>
      <c r="B23" s="43"/>
    </row>
    <row r="24" ht="23.25" customHeight="1">
      <c r="A24" s="44"/>
    </row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</sheetData>
  <mergeCells count="2">
    <mergeCell ref="A1:C1"/>
    <mergeCell ref="A6:B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9.0"/>
    <col customWidth="1" min="3" max="3" width="19.57"/>
    <col customWidth="1" min="4" max="4" width="17.86"/>
    <col customWidth="1" min="5" max="5" width="36.71"/>
    <col customWidth="1" min="6" max="6" width="25.71"/>
    <col customWidth="1" min="7" max="7" width="23.14"/>
    <col customWidth="1" min="8" max="8" width="22.0"/>
    <col customWidth="1" min="9" max="9" width="19.86"/>
    <col customWidth="1" min="10" max="10" width="21.86"/>
    <col customWidth="1" min="11" max="12" width="29.29"/>
    <col customWidth="1" min="13" max="13" width="22.14"/>
  </cols>
  <sheetData>
    <row r="1" ht="37.5" customHeight="1">
      <c r="A1" s="1" t="s">
        <v>110</v>
      </c>
    </row>
    <row r="2" ht="27.0" customHeight="1">
      <c r="A2" s="75" t="s">
        <v>111</v>
      </c>
      <c r="B2" s="76"/>
      <c r="C2" s="79">
        <v>244601.0</v>
      </c>
      <c r="D2" s="76"/>
      <c r="F2" s="3"/>
      <c r="G2" s="3"/>
      <c r="H2" s="3"/>
      <c r="I2" s="3"/>
      <c r="J2" s="3"/>
      <c r="K2" s="3"/>
      <c r="L2" s="3"/>
      <c r="M2" s="3"/>
    </row>
    <row r="3" ht="23.25" customHeight="1">
      <c r="A3" s="7"/>
      <c r="B3" s="7"/>
      <c r="O3" s="10"/>
    </row>
    <row r="4" ht="75.0" customHeight="1">
      <c r="A4" s="81" t="s">
        <v>117</v>
      </c>
      <c r="B4" s="81" t="s">
        <v>119</v>
      </c>
      <c r="C4" s="81" t="s">
        <v>6</v>
      </c>
      <c r="D4" s="81" t="s">
        <v>9</v>
      </c>
      <c r="E4" s="81" t="s">
        <v>121</v>
      </c>
      <c r="F4" s="81" t="s">
        <v>12</v>
      </c>
      <c r="G4" s="81" t="s">
        <v>13</v>
      </c>
      <c r="H4" s="81" t="s">
        <v>14</v>
      </c>
      <c r="I4" s="81" t="s">
        <v>122</v>
      </c>
      <c r="J4" s="81" t="s">
        <v>123</v>
      </c>
      <c r="K4" s="81" t="s">
        <v>124</v>
      </c>
      <c r="L4" s="82" t="s">
        <v>125</v>
      </c>
      <c r="M4" s="81" t="s">
        <v>127</v>
      </c>
    </row>
    <row r="5" ht="33.75" customHeight="1">
      <c r="A5" s="83">
        <v>25455.0</v>
      </c>
      <c r="B5" s="84">
        <v>0.3416666666666667</v>
      </c>
      <c r="C5" s="27" t="s">
        <v>25</v>
      </c>
      <c r="D5" s="27">
        <v>501.0</v>
      </c>
      <c r="E5" s="28" t="s">
        <v>33</v>
      </c>
      <c r="F5" s="5">
        <v>244604.0</v>
      </c>
      <c r="G5" s="5">
        <v>244605.0</v>
      </c>
      <c r="H5" s="27">
        <v>1.0</v>
      </c>
      <c r="I5" s="27">
        <v>1000.0</v>
      </c>
      <c r="J5" s="85" t="s">
        <v>132</v>
      </c>
      <c r="K5" s="85" t="s">
        <v>133</v>
      </c>
      <c r="L5" s="85"/>
      <c r="M5" s="86" t="s">
        <v>134</v>
      </c>
    </row>
    <row r="6" ht="33.75" customHeight="1">
      <c r="A6" s="87">
        <v>25455.0</v>
      </c>
      <c r="B6" s="88">
        <v>0.34375</v>
      </c>
      <c r="C6" s="89" t="s">
        <v>25</v>
      </c>
      <c r="D6" s="89">
        <v>502.0</v>
      </c>
      <c r="E6" s="89" t="s">
        <v>37</v>
      </c>
      <c r="F6" s="90">
        <v>244603.0</v>
      </c>
      <c r="G6" s="90">
        <v>244605.0</v>
      </c>
      <c r="H6" s="89">
        <v>2.0</v>
      </c>
      <c r="I6" s="89">
        <v>1600.0</v>
      </c>
      <c r="J6" s="92" t="s">
        <v>132</v>
      </c>
      <c r="K6" s="92" t="s">
        <v>133</v>
      </c>
      <c r="L6" s="92"/>
      <c r="M6" s="93" t="s">
        <v>134</v>
      </c>
    </row>
    <row r="7" ht="33.75" customHeight="1">
      <c r="A7" s="83">
        <v>25455.0</v>
      </c>
      <c r="B7" s="84">
        <v>0.37222222222222223</v>
      </c>
      <c r="C7" s="27" t="s">
        <v>25</v>
      </c>
      <c r="D7" s="27">
        <v>503.0</v>
      </c>
      <c r="E7" s="27" t="s">
        <v>39</v>
      </c>
      <c r="F7" s="5">
        <v>244603.0</v>
      </c>
      <c r="G7" s="5">
        <v>244604.0</v>
      </c>
      <c r="H7" s="27">
        <v>1.0</v>
      </c>
      <c r="I7" s="27">
        <v>1000.0</v>
      </c>
      <c r="J7" s="85" t="s">
        <v>132</v>
      </c>
      <c r="K7" s="85" t="s">
        <v>133</v>
      </c>
      <c r="L7" s="85"/>
      <c r="M7" s="86" t="s">
        <v>134</v>
      </c>
    </row>
    <row r="8" ht="33.75" customHeight="1">
      <c r="A8" s="87">
        <v>25455.0</v>
      </c>
      <c r="B8" s="88">
        <v>0.38263888888888886</v>
      </c>
      <c r="C8" s="89" t="s">
        <v>25</v>
      </c>
      <c r="D8" s="89">
        <v>504.0</v>
      </c>
      <c r="E8" s="89" t="s">
        <v>39</v>
      </c>
      <c r="F8" s="90">
        <v>244603.0</v>
      </c>
      <c r="G8" s="90">
        <v>244604.0</v>
      </c>
      <c r="H8" s="89">
        <v>1.0</v>
      </c>
      <c r="I8" s="89">
        <v>1000.0</v>
      </c>
      <c r="J8" s="92" t="s">
        <v>132</v>
      </c>
      <c r="K8" s="92" t="s">
        <v>133</v>
      </c>
      <c r="L8" s="92"/>
      <c r="M8" s="93" t="s">
        <v>134</v>
      </c>
    </row>
    <row r="9" ht="33.75" customHeight="1">
      <c r="A9" s="83">
        <v>25455.0</v>
      </c>
      <c r="B9" s="84">
        <v>0.40625</v>
      </c>
      <c r="C9" s="27" t="s">
        <v>25</v>
      </c>
      <c r="D9" s="27">
        <v>510.0</v>
      </c>
      <c r="E9" s="27" t="s">
        <v>39</v>
      </c>
      <c r="F9" s="5">
        <v>244603.0</v>
      </c>
      <c r="G9" s="5">
        <v>244604.0</v>
      </c>
      <c r="H9" s="27">
        <v>1.0</v>
      </c>
      <c r="I9" s="27">
        <v>1200.0</v>
      </c>
      <c r="J9" s="85" t="s">
        <v>132</v>
      </c>
      <c r="K9" s="85" t="s">
        <v>133</v>
      </c>
      <c r="L9" s="85"/>
      <c r="M9" s="86" t="s">
        <v>134</v>
      </c>
    </row>
    <row r="10" ht="33.75" customHeight="1">
      <c r="A10" s="87">
        <v>25455.0</v>
      </c>
      <c r="B10" s="88">
        <v>0.425</v>
      </c>
      <c r="C10" s="89" t="s">
        <v>25</v>
      </c>
      <c r="D10" s="89">
        <v>710.0</v>
      </c>
      <c r="E10" s="89" t="s">
        <v>39</v>
      </c>
      <c r="F10" s="90">
        <v>244603.0</v>
      </c>
      <c r="G10" s="90">
        <v>244604.0</v>
      </c>
      <c r="H10" s="89">
        <v>1.0</v>
      </c>
      <c r="I10" s="89">
        <v>1200.0</v>
      </c>
      <c r="J10" s="92" t="s">
        <v>132</v>
      </c>
      <c r="K10" s="92" t="s">
        <v>133</v>
      </c>
      <c r="L10" s="92"/>
      <c r="M10" s="93" t="s">
        <v>134</v>
      </c>
    </row>
    <row r="11" ht="33.75" customHeight="1">
      <c r="A11" s="83">
        <v>25455.0</v>
      </c>
      <c r="B11" s="84">
        <v>0.4708333333333333</v>
      </c>
      <c r="C11" s="27" t="s">
        <v>25</v>
      </c>
      <c r="D11" s="27">
        <v>711.0</v>
      </c>
      <c r="E11" s="27" t="s">
        <v>138</v>
      </c>
      <c r="F11" s="5">
        <v>244604.0</v>
      </c>
      <c r="G11" s="5">
        <v>244605.0</v>
      </c>
      <c r="H11" s="27">
        <v>1.0</v>
      </c>
      <c r="I11" s="27">
        <v>1000.0</v>
      </c>
      <c r="J11" s="85" t="s">
        <v>132</v>
      </c>
      <c r="K11" s="85" t="s">
        <v>133</v>
      </c>
      <c r="L11" s="85"/>
      <c r="M11" s="86" t="s">
        <v>134</v>
      </c>
    </row>
    <row r="12" ht="33.75" customHeight="1">
      <c r="A12" s="87">
        <v>25455.0</v>
      </c>
      <c r="B12" s="88">
        <v>0.5583333333333333</v>
      </c>
      <c r="C12" s="89" t="s">
        <v>25</v>
      </c>
      <c r="D12" s="89">
        <v>716.0</v>
      </c>
      <c r="E12" s="89" t="s">
        <v>50</v>
      </c>
      <c r="F12" s="90">
        <v>244604.0</v>
      </c>
      <c r="G12" s="90">
        <v>244605.0</v>
      </c>
      <c r="H12" s="89">
        <v>1.0</v>
      </c>
      <c r="I12" s="89">
        <v>1000.0</v>
      </c>
      <c r="J12" s="92" t="s">
        <v>132</v>
      </c>
      <c r="K12" s="92" t="s">
        <v>133</v>
      </c>
      <c r="L12" s="92"/>
      <c r="M12" s="93" t="s">
        <v>134</v>
      </c>
    </row>
    <row r="13" ht="33.75" customHeight="1">
      <c r="A13" s="83">
        <v>25455.0</v>
      </c>
      <c r="B13" s="84">
        <v>0.5847222222222223</v>
      </c>
      <c r="C13" s="27" t="s">
        <v>25</v>
      </c>
      <c r="D13" s="27">
        <v>805.0</v>
      </c>
      <c r="E13" s="27" t="s">
        <v>52</v>
      </c>
      <c r="F13" s="5">
        <v>244604.0</v>
      </c>
      <c r="G13" s="5">
        <v>244605.0</v>
      </c>
      <c r="H13" s="27">
        <v>1.0</v>
      </c>
      <c r="I13" s="27">
        <v>800.0</v>
      </c>
      <c r="J13" s="85" t="s">
        <v>132</v>
      </c>
      <c r="K13" s="85" t="s">
        <v>133</v>
      </c>
      <c r="L13" s="85"/>
      <c r="M13" s="86" t="s">
        <v>134</v>
      </c>
    </row>
    <row r="14" ht="33.75" customHeight="1">
      <c r="A14" s="87">
        <v>25455.0</v>
      </c>
      <c r="B14" s="88">
        <v>0.5923611111111111</v>
      </c>
      <c r="C14" s="89" t="s">
        <v>25</v>
      </c>
      <c r="D14" s="89">
        <v>818.0</v>
      </c>
      <c r="E14" s="89" t="s">
        <v>53</v>
      </c>
      <c r="F14" s="90">
        <v>244612.0</v>
      </c>
      <c r="G14" s="90">
        <v>244617.0</v>
      </c>
      <c r="H14" s="89">
        <v>4.0</v>
      </c>
      <c r="I14" s="89">
        <v>3000.0</v>
      </c>
      <c r="J14" s="97" t="s">
        <v>142</v>
      </c>
      <c r="K14" s="92" t="s">
        <v>147</v>
      </c>
      <c r="L14" s="92"/>
      <c r="M14" s="93" t="s">
        <v>134</v>
      </c>
    </row>
    <row r="15" ht="33.75" customHeight="1">
      <c r="A15" s="83">
        <v>25455.0</v>
      </c>
      <c r="B15" s="84">
        <v>0.6798611111111111</v>
      </c>
      <c r="C15" s="27" t="s">
        <v>25</v>
      </c>
      <c r="D15" s="27">
        <v>909.0</v>
      </c>
      <c r="E15" s="27" t="s">
        <v>55</v>
      </c>
      <c r="F15" s="5">
        <v>244604.0</v>
      </c>
      <c r="G15" s="5">
        <v>244605.0</v>
      </c>
      <c r="H15" s="27">
        <v>1.0</v>
      </c>
      <c r="I15" s="27">
        <v>1700.0</v>
      </c>
      <c r="J15" s="85" t="s">
        <v>132</v>
      </c>
      <c r="K15" s="85" t="s">
        <v>148</v>
      </c>
      <c r="L15" s="85"/>
      <c r="M15" s="86" t="s">
        <v>134</v>
      </c>
    </row>
    <row r="16" ht="33.75" customHeight="1">
      <c r="A16" s="100">
        <v>25455.0</v>
      </c>
      <c r="B16" s="101">
        <v>0.7965277777777777</v>
      </c>
      <c r="C16" s="102" t="s">
        <v>25</v>
      </c>
      <c r="D16" s="102">
        <v>919.0</v>
      </c>
      <c r="E16" s="102" t="s">
        <v>57</v>
      </c>
      <c r="F16" s="104">
        <v>244604.0</v>
      </c>
      <c r="G16" s="104">
        <v>244607.0</v>
      </c>
      <c r="H16" s="102">
        <v>3.0</v>
      </c>
      <c r="I16" s="102">
        <v>1500.0</v>
      </c>
      <c r="J16" s="106" t="s">
        <v>132</v>
      </c>
      <c r="K16" s="106" t="s">
        <v>133</v>
      </c>
      <c r="L16" s="106"/>
      <c r="M16" s="110" t="s">
        <v>134</v>
      </c>
    </row>
    <row r="17" ht="23.25" customHeight="1">
      <c r="A17" s="42"/>
      <c r="B17" s="42"/>
      <c r="C17" s="42"/>
    </row>
    <row r="18" ht="28.5" customHeight="1">
      <c r="A18" s="112" t="s">
        <v>164</v>
      </c>
      <c r="B18" s="114">
        <v>12.0</v>
      </c>
      <c r="C18" s="115"/>
      <c r="D18" s="115"/>
      <c r="E18" s="115"/>
      <c r="F18" s="112"/>
      <c r="G18" s="112"/>
      <c r="H18" s="112" t="s">
        <v>168</v>
      </c>
      <c r="I18" s="114">
        <f>sum(I5:I16)</f>
        <v>16000</v>
      </c>
      <c r="J18" s="3"/>
      <c r="K18" s="3"/>
      <c r="L18" s="3"/>
      <c r="M18" s="3"/>
    </row>
    <row r="19" ht="23.25" customHeight="1">
      <c r="A19" s="43"/>
      <c r="B19" s="43"/>
      <c r="C19" s="43"/>
      <c r="D19" s="43"/>
      <c r="E19" s="43"/>
      <c r="F19" s="43"/>
      <c r="G19" s="43"/>
      <c r="H19" s="43"/>
      <c r="I19" s="43"/>
    </row>
    <row r="20" ht="23.25" customHeight="1">
      <c r="A20" s="44"/>
      <c r="B20" s="44"/>
      <c r="C20" s="44"/>
    </row>
    <row r="21" ht="23.25" customHeight="1">
      <c r="A21" s="44"/>
      <c r="B21" s="44"/>
      <c r="C21" s="44"/>
      <c r="D21" s="43"/>
    </row>
    <row r="22" ht="23.25" customHeight="1">
      <c r="A22" s="44"/>
      <c r="B22" s="44"/>
      <c r="C22" s="44"/>
    </row>
    <row r="23" ht="23.25" customHeight="1"/>
    <row r="24" ht="23.25" customHeight="1"/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</sheetData>
  <mergeCells count="4">
    <mergeCell ref="A1:E1"/>
    <mergeCell ref="A2:B2"/>
    <mergeCell ref="C2:D2"/>
    <mergeCell ref="B3:M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9.57"/>
    <col customWidth="1" min="3" max="3" width="15.86"/>
    <col customWidth="1" min="4" max="4" width="33.71"/>
    <col customWidth="1" min="5" max="5" width="25.71"/>
    <col customWidth="1" min="6" max="6" width="23.14"/>
    <col customWidth="1" min="7" max="7" width="17.43"/>
    <col customWidth="1" min="8" max="8" width="27.0"/>
    <col customWidth="1" min="9" max="9" width="23.43"/>
  </cols>
  <sheetData>
    <row r="1" ht="37.5" customHeight="1">
      <c r="A1" s="1" t="s">
        <v>159</v>
      </c>
    </row>
    <row r="2" ht="23.25" customHeight="1">
      <c r="A2" s="75" t="s">
        <v>111</v>
      </c>
      <c r="B2" s="76"/>
      <c r="C2" s="108">
        <v>244606.0</v>
      </c>
      <c r="D2" s="76"/>
      <c r="E2" s="7"/>
      <c r="F2" s="7"/>
      <c r="G2" s="7"/>
      <c r="H2" s="7"/>
      <c r="I2" s="7"/>
      <c r="K2" s="10"/>
    </row>
    <row r="3" ht="23.25" customHeight="1">
      <c r="A3" s="75" t="s">
        <v>161</v>
      </c>
      <c r="B3" s="76"/>
      <c r="C3" s="111" t="s">
        <v>162</v>
      </c>
      <c r="E3" s="7"/>
      <c r="F3" s="7"/>
      <c r="G3" s="7"/>
      <c r="H3" s="7"/>
      <c r="I3" s="7"/>
      <c r="K3" s="10"/>
    </row>
    <row r="4" ht="23.25" customHeight="1">
      <c r="A4" s="7"/>
      <c r="K4" s="10"/>
    </row>
    <row r="5" ht="43.5" customHeight="1">
      <c r="A5" s="113" t="s">
        <v>165</v>
      </c>
      <c r="B5" s="113" t="s">
        <v>6</v>
      </c>
      <c r="C5" s="113" t="s">
        <v>9</v>
      </c>
      <c r="D5" s="113" t="s">
        <v>121</v>
      </c>
      <c r="E5" s="113" t="s">
        <v>12</v>
      </c>
      <c r="F5" s="113" t="s">
        <v>13</v>
      </c>
      <c r="G5" s="113" t="s">
        <v>14</v>
      </c>
      <c r="H5" s="113" t="s">
        <v>166</v>
      </c>
      <c r="I5" s="113" t="s">
        <v>167</v>
      </c>
    </row>
    <row r="6" ht="33.75" customHeight="1">
      <c r="A6" s="83">
        <v>25455.0</v>
      </c>
      <c r="B6" s="27" t="s">
        <v>25</v>
      </c>
      <c r="C6" s="27">
        <v>501.0</v>
      </c>
      <c r="D6" s="28" t="s">
        <v>33</v>
      </c>
      <c r="E6" s="5">
        <v>244604.0</v>
      </c>
      <c r="F6" s="5">
        <v>244605.0</v>
      </c>
      <c r="G6" s="27">
        <v>1.0</v>
      </c>
      <c r="H6" s="27">
        <v>1000.0</v>
      </c>
      <c r="I6" s="85">
        <v>500.0</v>
      </c>
    </row>
    <row r="7" ht="33.75" customHeight="1">
      <c r="A7" s="87">
        <v>25455.0</v>
      </c>
      <c r="B7" s="89" t="s">
        <v>25</v>
      </c>
      <c r="C7" s="89">
        <v>502.0</v>
      </c>
      <c r="D7" s="89" t="s">
        <v>37</v>
      </c>
      <c r="E7" s="90">
        <v>244603.0</v>
      </c>
      <c r="F7" s="90">
        <v>244605.0</v>
      </c>
      <c r="G7" s="89">
        <v>2.0</v>
      </c>
      <c r="H7" s="89">
        <v>2000.0</v>
      </c>
      <c r="I7" s="92">
        <v>1000.0</v>
      </c>
    </row>
    <row r="8" ht="33.75" customHeight="1">
      <c r="A8" s="83">
        <v>25456.0</v>
      </c>
      <c r="B8" s="27" t="s">
        <v>25</v>
      </c>
      <c r="C8" s="27">
        <v>503.0</v>
      </c>
      <c r="D8" s="27" t="s">
        <v>39</v>
      </c>
      <c r="E8" s="5">
        <v>244607.0</v>
      </c>
      <c r="F8" s="5">
        <v>244608.0</v>
      </c>
      <c r="G8" s="27">
        <v>1.0</v>
      </c>
      <c r="H8" s="27">
        <v>1000.0</v>
      </c>
      <c r="I8" s="85">
        <v>500.0</v>
      </c>
    </row>
    <row r="9" ht="33.75" customHeight="1">
      <c r="A9" s="87">
        <v>25456.0</v>
      </c>
      <c r="B9" s="89" t="s">
        <v>25</v>
      </c>
      <c r="C9" s="89">
        <v>504.0</v>
      </c>
      <c r="D9" s="89" t="s">
        <v>39</v>
      </c>
      <c r="E9" s="90">
        <v>244607.0</v>
      </c>
      <c r="F9" s="90">
        <v>244608.0</v>
      </c>
      <c r="G9" s="89">
        <v>1.0</v>
      </c>
      <c r="H9" s="89">
        <v>1000.0</v>
      </c>
      <c r="I9" s="92">
        <v>500.0</v>
      </c>
    </row>
    <row r="10" ht="33.75" customHeight="1">
      <c r="A10" s="83">
        <v>25456.0</v>
      </c>
      <c r="B10" s="27" t="s">
        <v>25</v>
      </c>
      <c r="C10" s="27">
        <v>510.0</v>
      </c>
      <c r="D10" s="27" t="s">
        <v>39</v>
      </c>
      <c r="E10" s="5">
        <v>244607.0</v>
      </c>
      <c r="F10" s="5">
        <v>244608.0</v>
      </c>
      <c r="G10" s="27">
        <v>1.0</v>
      </c>
      <c r="H10" s="27">
        <v>1200.0</v>
      </c>
      <c r="I10" s="85">
        <v>600.0</v>
      </c>
    </row>
    <row r="11" ht="33.75" customHeight="1">
      <c r="A11" s="87">
        <v>25456.0</v>
      </c>
      <c r="B11" s="89" t="s">
        <v>25</v>
      </c>
      <c r="C11" s="89">
        <v>710.0</v>
      </c>
      <c r="D11" s="89" t="s">
        <v>39</v>
      </c>
      <c r="E11" s="90">
        <v>244607.0</v>
      </c>
      <c r="F11" s="90">
        <v>244608.0</v>
      </c>
      <c r="G11" s="89">
        <v>1.0</v>
      </c>
      <c r="H11" s="89">
        <v>1200.0</v>
      </c>
      <c r="I11" s="92">
        <v>600.0</v>
      </c>
    </row>
    <row r="12" ht="33.75" customHeight="1">
      <c r="A12" s="83">
        <v>25457.0</v>
      </c>
      <c r="B12" s="27" t="s">
        <v>25</v>
      </c>
      <c r="C12" s="27">
        <v>711.0</v>
      </c>
      <c r="D12" s="27" t="s">
        <v>138</v>
      </c>
      <c r="E12" s="5">
        <v>244605.0</v>
      </c>
      <c r="F12" s="5">
        <v>244606.0</v>
      </c>
      <c r="G12" s="27">
        <v>1.0</v>
      </c>
      <c r="H12" s="27">
        <v>1200.0</v>
      </c>
      <c r="I12" s="85">
        <v>600.0</v>
      </c>
    </row>
    <row r="13" ht="33.75" customHeight="1">
      <c r="A13" s="87">
        <v>25458.0</v>
      </c>
      <c r="B13" s="89" t="s">
        <v>25</v>
      </c>
      <c r="C13" s="89">
        <v>716.0</v>
      </c>
      <c r="D13" s="89" t="s">
        <v>50</v>
      </c>
      <c r="E13" s="90">
        <v>244608.0</v>
      </c>
      <c r="F13" s="90">
        <v>244610.0</v>
      </c>
      <c r="G13" s="89">
        <v>2.0</v>
      </c>
      <c r="H13" s="89">
        <v>2000.0</v>
      </c>
      <c r="I13" s="92">
        <v>1000.0</v>
      </c>
    </row>
    <row r="14" ht="33.75" customHeight="1">
      <c r="A14" s="83">
        <v>25458.0</v>
      </c>
      <c r="B14" s="27" t="s">
        <v>25</v>
      </c>
      <c r="C14" s="27">
        <v>805.0</v>
      </c>
      <c r="D14" s="27" t="s">
        <v>52</v>
      </c>
      <c r="E14" s="5">
        <v>244609.0</v>
      </c>
      <c r="F14" s="5">
        <v>244612.0</v>
      </c>
      <c r="G14" s="27">
        <v>3.0</v>
      </c>
      <c r="H14" s="27">
        <v>2400.0</v>
      </c>
      <c r="I14" s="85">
        <v>1200.0</v>
      </c>
    </row>
    <row r="15" ht="33.75" customHeight="1">
      <c r="A15" s="87">
        <v>25458.0</v>
      </c>
      <c r="B15" s="89" t="s">
        <v>25</v>
      </c>
      <c r="C15" s="89">
        <v>818.0</v>
      </c>
      <c r="D15" s="89" t="s">
        <v>53</v>
      </c>
      <c r="E15" s="90">
        <v>244612.0</v>
      </c>
      <c r="F15" s="90">
        <v>244617.0</v>
      </c>
      <c r="G15" s="89">
        <v>4.0</v>
      </c>
      <c r="H15" s="89">
        <v>6000.0</v>
      </c>
      <c r="I15" s="92">
        <v>3000.0</v>
      </c>
    </row>
    <row r="16" ht="33.75" customHeight="1">
      <c r="A16" s="83">
        <v>25459.0</v>
      </c>
      <c r="B16" s="27" t="s">
        <v>25</v>
      </c>
      <c r="C16" s="27">
        <v>909.0</v>
      </c>
      <c r="D16" s="27" t="s">
        <v>55</v>
      </c>
      <c r="E16" s="5">
        <v>244608.0</v>
      </c>
      <c r="F16" s="5">
        <v>244609.0</v>
      </c>
      <c r="G16" s="27">
        <v>1.0</v>
      </c>
      <c r="H16" s="27">
        <v>1700.0</v>
      </c>
      <c r="I16" s="85">
        <v>850.0</v>
      </c>
    </row>
    <row r="17" ht="33.75" customHeight="1">
      <c r="A17" s="100">
        <v>25460.0</v>
      </c>
      <c r="B17" s="102" t="s">
        <v>25</v>
      </c>
      <c r="C17" s="102">
        <v>501.0</v>
      </c>
      <c r="D17" s="102" t="s">
        <v>57</v>
      </c>
      <c r="E17" s="104">
        <v>244642.0</v>
      </c>
      <c r="F17" s="104">
        <v>244643.0</v>
      </c>
      <c r="G17" s="102">
        <v>1.0</v>
      </c>
      <c r="H17" s="102">
        <v>800.0</v>
      </c>
      <c r="I17" s="106">
        <v>400.0</v>
      </c>
    </row>
    <row r="18" ht="23.25" customHeight="1">
      <c r="A18" s="42"/>
      <c r="B18" s="42"/>
    </row>
    <row r="19" ht="28.5" customHeight="1">
      <c r="A19" s="112" t="s">
        <v>164</v>
      </c>
      <c r="B19" s="116">
        <v>12.0</v>
      </c>
      <c r="C19" s="115"/>
      <c r="D19" s="115"/>
      <c r="E19" s="112"/>
      <c r="F19" s="112"/>
      <c r="G19" s="112" t="s">
        <v>168</v>
      </c>
      <c r="H19" s="114">
        <f t="shared" ref="H19:I19" si="1">SUM(H6:H17)</f>
        <v>21500</v>
      </c>
      <c r="I19" s="114">
        <f t="shared" si="1"/>
        <v>10750</v>
      </c>
    </row>
    <row r="20" ht="23.25" customHeight="1">
      <c r="A20" s="43"/>
      <c r="B20" s="43"/>
      <c r="C20" s="43"/>
      <c r="D20" s="43"/>
      <c r="E20" s="43"/>
      <c r="F20" s="43"/>
      <c r="G20" s="43"/>
      <c r="H20" s="43"/>
    </row>
    <row r="21" ht="23.25" customHeight="1">
      <c r="A21" s="44"/>
      <c r="B21" s="44"/>
    </row>
    <row r="22" ht="23.25" customHeight="1">
      <c r="A22" s="44"/>
      <c r="B22" s="44"/>
      <c r="C22" s="43"/>
    </row>
    <row r="23" ht="23.25" customHeight="1">
      <c r="A23" s="44"/>
      <c r="B23" s="44"/>
    </row>
    <row r="24" ht="23.25" customHeight="1"/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</sheetData>
  <mergeCells count="6">
    <mergeCell ref="A1:D1"/>
    <mergeCell ref="A2:B2"/>
    <mergeCell ref="C2:D2"/>
    <mergeCell ref="A3:B3"/>
    <mergeCell ref="C3:D3"/>
    <mergeCell ref="A4:I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37.29"/>
    <col customWidth="1" min="3" max="3" width="40.71"/>
    <col customWidth="1" min="4" max="7" width="33.71"/>
    <col customWidth="1" min="8" max="8" width="32.43"/>
    <col customWidth="1" min="9" max="9" width="23.14"/>
    <col customWidth="1" min="10" max="10" width="23.57"/>
    <col customWidth="1" min="11" max="11" width="27.0"/>
    <col customWidth="1" min="12" max="12" width="23.43"/>
  </cols>
  <sheetData>
    <row r="1" ht="37.5" customHeight="1">
      <c r="A1" s="1" t="s">
        <v>188</v>
      </c>
    </row>
    <row r="2" ht="23.25" customHeight="1">
      <c r="A2" s="75" t="s">
        <v>111</v>
      </c>
      <c r="B2" s="76"/>
      <c r="C2" s="108">
        <v>244606.0</v>
      </c>
      <c r="D2" s="134"/>
      <c r="E2" s="134"/>
      <c r="F2" s="134"/>
      <c r="G2" s="76"/>
      <c r="H2" s="7"/>
      <c r="I2" s="7"/>
      <c r="J2" s="7"/>
      <c r="K2" s="7"/>
      <c r="L2" s="7"/>
      <c r="N2" s="10"/>
    </row>
    <row r="3" ht="23.25" customHeight="1">
      <c r="A3" s="7"/>
      <c r="N3" s="10"/>
    </row>
    <row r="4" ht="43.5" customHeight="1">
      <c r="A4" s="136" t="s">
        <v>189</v>
      </c>
      <c r="B4" s="113" t="s">
        <v>190</v>
      </c>
      <c r="C4" s="113" t="s">
        <v>191</v>
      </c>
      <c r="D4" s="113" t="s">
        <v>34</v>
      </c>
      <c r="E4" s="113" t="s">
        <v>192</v>
      </c>
      <c r="F4" s="113" t="s">
        <v>54</v>
      </c>
      <c r="G4" s="113" t="s">
        <v>193</v>
      </c>
      <c r="H4" s="113" t="s">
        <v>194</v>
      </c>
      <c r="I4" s="113" t="s">
        <v>195</v>
      </c>
      <c r="J4" s="113" t="s">
        <v>196</v>
      </c>
      <c r="K4" s="113" t="s">
        <v>197</v>
      </c>
      <c r="L4" s="138"/>
    </row>
    <row r="5" ht="33.75" customHeight="1">
      <c r="A5" s="140">
        <v>25460.0</v>
      </c>
      <c r="B5" s="27">
        <v>100.0</v>
      </c>
      <c r="C5" s="27">
        <v>60.0</v>
      </c>
      <c r="D5" s="28">
        <v>30.0</v>
      </c>
      <c r="E5" s="28">
        <v>27.0</v>
      </c>
      <c r="F5" s="28">
        <v>3.0</v>
      </c>
      <c r="G5" s="28">
        <v>40.0</v>
      </c>
      <c r="H5" s="6">
        <v>20.0</v>
      </c>
      <c r="I5" s="6">
        <v>2.0</v>
      </c>
      <c r="J5" s="27">
        <v>1.0</v>
      </c>
      <c r="K5" s="27">
        <v>30.0</v>
      </c>
      <c r="L5" s="144"/>
    </row>
    <row r="6" ht="33.75" customHeight="1">
      <c r="A6" s="146">
        <v>25461.0</v>
      </c>
      <c r="B6" s="89">
        <v>100.0</v>
      </c>
      <c r="C6" s="89">
        <v>35.0</v>
      </c>
      <c r="D6" s="89"/>
      <c r="E6" s="89"/>
      <c r="F6" s="89"/>
      <c r="G6" s="89">
        <v>65.0</v>
      </c>
      <c r="H6" s="148">
        <v>40.0</v>
      </c>
      <c r="I6" s="148">
        <v>2.0</v>
      </c>
      <c r="J6" s="89">
        <v>2.0</v>
      </c>
      <c r="K6" s="89">
        <v>40.0</v>
      </c>
      <c r="L6" s="149"/>
    </row>
    <row r="7" ht="33.75" customHeight="1">
      <c r="A7" s="140">
        <v>25462.0</v>
      </c>
      <c r="B7" s="27">
        <v>100.0</v>
      </c>
      <c r="C7" s="27">
        <v>44.0</v>
      </c>
      <c r="D7" s="27"/>
      <c r="E7" s="27"/>
      <c r="F7" s="27"/>
      <c r="G7" s="27">
        <v>56.0</v>
      </c>
      <c r="H7" s="6">
        <v>18.0</v>
      </c>
      <c r="I7" s="6">
        <v>2.0</v>
      </c>
      <c r="J7" s="27">
        <v>1.0</v>
      </c>
      <c r="K7" s="27">
        <v>30.0</v>
      </c>
      <c r="L7" s="144"/>
    </row>
    <row r="8" ht="33.75" customHeight="1">
      <c r="A8" s="146">
        <v>25463.0</v>
      </c>
      <c r="B8" s="89">
        <v>100.0</v>
      </c>
      <c r="C8" s="89">
        <v>19.0</v>
      </c>
      <c r="D8" s="89"/>
      <c r="E8" s="89"/>
      <c r="F8" s="89"/>
      <c r="G8" s="89">
        <v>81.0</v>
      </c>
      <c r="H8" s="148">
        <v>2.0</v>
      </c>
      <c r="I8" s="148">
        <v>2.0</v>
      </c>
      <c r="J8" s="89">
        <v>1.0</v>
      </c>
      <c r="K8" s="89">
        <v>10.0</v>
      </c>
      <c r="L8" s="149"/>
    </row>
    <row r="9" ht="33.75" customHeight="1">
      <c r="A9" s="140">
        <v>25464.0</v>
      </c>
      <c r="B9" s="27">
        <v>100.0</v>
      </c>
      <c r="C9" s="27">
        <v>20.0</v>
      </c>
      <c r="D9" s="27"/>
      <c r="E9" s="27"/>
      <c r="F9" s="27"/>
      <c r="G9" s="27">
        <v>80.0</v>
      </c>
      <c r="H9" s="6">
        <v>2.0</v>
      </c>
      <c r="I9" s="6">
        <v>2.0</v>
      </c>
      <c r="J9" s="27">
        <v>1.0</v>
      </c>
      <c r="K9" s="27">
        <v>9.0</v>
      </c>
      <c r="L9" s="144"/>
    </row>
    <row r="10" ht="33.75" customHeight="1">
      <c r="A10" s="146">
        <v>25465.0</v>
      </c>
      <c r="B10" s="89">
        <v>100.0</v>
      </c>
      <c r="C10" s="89">
        <v>77.0</v>
      </c>
      <c r="D10" s="89"/>
      <c r="E10" s="89"/>
      <c r="F10" s="89"/>
      <c r="G10" s="89">
        <v>23.0</v>
      </c>
      <c r="H10" s="148">
        <v>0.0</v>
      </c>
      <c r="I10" s="148">
        <v>2.0</v>
      </c>
      <c r="J10" s="89">
        <v>1.0</v>
      </c>
      <c r="K10" s="89">
        <v>5.0</v>
      </c>
      <c r="L10" s="149"/>
    </row>
    <row r="11" ht="33.75" customHeight="1">
      <c r="A11" s="150">
        <v>25466.0</v>
      </c>
      <c r="B11" s="38">
        <v>100.0</v>
      </c>
      <c r="C11" s="38">
        <v>77.0</v>
      </c>
      <c r="D11" s="38"/>
      <c r="E11" s="38"/>
      <c r="F11" s="38"/>
      <c r="G11" s="38">
        <v>23.0</v>
      </c>
      <c r="H11" s="151">
        <v>10.0</v>
      </c>
      <c r="I11" s="151">
        <v>2.0</v>
      </c>
      <c r="J11" s="38">
        <v>1.0</v>
      </c>
      <c r="K11" s="38">
        <v>5.0</v>
      </c>
      <c r="L11" s="152"/>
    </row>
    <row r="12" ht="23.25" customHeight="1">
      <c r="A12" s="42"/>
      <c r="B12" s="42"/>
    </row>
    <row r="13" ht="28.5" customHeight="1">
      <c r="A13" s="112"/>
      <c r="B13" s="116"/>
      <c r="C13" s="115"/>
      <c r="D13" s="115"/>
      <c r="E13" s="115"/>
      <c r="G13" s="112" t="s">
        <v>168</v>
      </c>
      <c r="H13" s="114">
        <f t="shared" ref="H13:K13" si="1">SUM(K5:K11)</f>
        <v>129</v>
      </c>
      <c r="I13" s="114">
        <f t="shared" si="1"/>
        <v>0</v>
      </c>
      <c r="J13" s="114">
        <f t="shared" si="1"/>
        <v>0</v>
      </c>
      <c r="K13" s="114">
        <f t="shared" si="1"/>
        <v>0</v>
      </c>
    </row>
    <row r="14" ht="23.2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5" ht="23.25" customHeight="1">
      <c r="A15" s="44"/>
      <c r="B15" s="44"/>
    </row>
    <row r="16" ht="23.25" customHeight="1">
      <c r="A16" s="44"/>
      <c r="B16" s="44"/>
      <c r="C16" s="43"/>
    </row>
    <row r="17" ht="23.25" customHeight="1">
      <c r="A17" s="44"/>
      <c r="B17" s="44"/>
    </row>
    <row r="18" ht="23.25" customHeight="1"/>
    <row r="19" ht="23.25" customHeight="1"/>
    <row r="20" ht="23.25" customHeight="1"/>
    <row r="21" ht="23.25" customHeight="1"/>
    <row r="22" ht="23.25" customHeight="1"/>
    <row r="23" ht="23.25" customHeight="1"/>
    <row r="24" ht="23.25" customHeight="1"/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</sheetData>
  <mergeCells count="4">
    <mergeCell ref="A1:G1"/>
    <mergeCell ref="A2:B2"/>
    <mergeCell ref="C2:G2"/>
    <mergeCell ref="A3:L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8.29"/>
    <col customWidth="1" min="3" max="3" width="23.0"/>
    <col customWidth="1" min="4" max="4" width="35.29"/>
    <col customWidth="1" min="5" max="5" width="25.71"/>
    <col customWidth="1" min="6" max="6" width="25.43"/>
    <col customWidth="1" min="7" max="7" width="25.0"/>
    <col customWidth="1" min="8" max="8" width="26.14"/>
  </cols>
  <sheetData>
    <row r="1" ht="37.5" customHeight="1">
      <c r="A1" s="1" t="s">
        <v>187</v>
      </c>
    </row>
    <row r="2" ht="23.25" customHeight="1">
      <c r="A2" s="133" t="s">
        <v>111</v>
      </c>
      <c r="B2" s="76"/>
      <c r="C2" s="135">
        <v>244604.0</v>
      </c>
      <c r="D2" s="137"/>
      <c r="E2" s="3"/>
      <c r="F2" s="3"/>
      <c r="G2" s="3"/>
    </row>
    <row r="3" ht="23.25" customHeight="1">
      <c r="A3" s="7"/>
      <c r="B3" s="7"/>
      <c r="I3" s="10"/>
    </row>
    <row r="4" ht="43.5" customHeight="1">
      <c r="A4" s="139" t="s">
        <v>117</v>
      </c>
      <c r="B4" s="139" t="s">
        <v>6</v>
      </c>
      <c r="C4" s="139" t="s">
        <v>9</v>
      </c>
      <c r="D4" s="139" t="s">
        <v>198</v>
      </c>
      <c r="E4" s="139" t="s">
        <v>12</v>
      </c>
      <c r="F4" s="139" t="s">
        <v>13</v>
      </c>
      <c r="G4" s="139" t="s">
        <v>199</v>
      </c>
      <c r="H4" s="139" t="s">
        <v>200</v>
      </c>
    </row>
    <row r="5" ht="33.75" customHeight="1">
      <c r="A5" s="83">
        <v>25458.0</v>
      </c>
      <c r="B5" s="27" t="s">
        <v>25</v>
      </c>
      <c r="C5" s="27">
        <v>501.0</v>
      </c>
      <c r="D5" s="28" t="s">
        <v>33</v>
      </c>
      <c r="E5" s="5">
        <v>244601.0</v>
      </c>
      <c r="F5" s="5">
        <v>244605.0</v>
      </c>
      <c r="G5" s="141" t="s">
        <v>201</v>
      </c>
      <c r="H5" s="35">
        <v>2.0</v>
      </c>
    </row>
    <row r="6" ht="33.75" customHeight="1">
      <c r="A6" s="87">
        <v>25458.0</v>
      </c>
      <c r="B6" s="89" t="s">
        <v>25</v>
      </c>
      <c r="C6" s="89">
        <v>502.0</v>
      </c>
      <c r="D6" s="89" t="s">
        <v>37</v>
      </c>
      <c r="E6" s="90">
        <v>244603.0</v>
      </c>
      <c r="F6" s="90">
        <v>244606.0</v>
      </c>
      <c r="G6" s="142" t="s">
        <v>201</v>
      </c>
      <c r="H6" s="143">
        <v>1.0</v>
      </c>
    </row>
    <row r="7" ht="33.75" customHeight="1">
      <c r="A7" s="83">
        <v>25458.0</v>
      </c>
      <c r="B7" s="27" t="s">
        <v>25</v>
      </c>
      <c r="C7" s="27">
        <v>503.0</v>
      </c>
      <c r="D7" s="27" t="s">
        <v>39</v>
      </c>
      <c r="E7" s="5">
        <v>244603.0</v>
      </c>
      <c r="F7" s="5">
        <v>244604.0</v>
      </c>
      <c r="G7" s="27">
        <v>1.0</v>
      </c>
      <c r="H7" s="145" t="s">
        <v>201</v>
      </c>
    </row>
    <row r="8" ht="33.75" customHeight="1">
      <c r="A8" s="87">
        <v>25458.0</v>
      </c>
      <c r="B8" s="89" t="s">
        <v>25</v>
      </c>
      <c r="C8" s="89">
        <v>504.0</v>
      </c>
      <c r="D8" s="89" t="s">
        <v>39</v>
      </c>
      <c r="E8" s="90">
        <v>244603.0</v>
      </c>
      <c r="F8" s="90">
        <v>244604.0</v>
      </c>
      <c r="G8" s="89">
        <v>1.0</v>
      </c>
      <c r="H8" s="147" t="s">
        <v>201</v>
      </c>
    </row>
    <row r="9" ht="33.75" customHeight="1">
      <c r="A9" s="83">
        <v>25458.0</v>
      </c>
      <c r="B9" s="27" t="s">
        <v>25</v>
      </c>
      <c r="C9" s="27">
        <v>510.0</v>
      </c>
      <c r="D9" s="27" t="s">
        <v>39</v>
      </c>
      <c r="E9" s="5">
        <v>244603.0</v>
      </c>
      <c r="F9" s="5">
        <v>244604.0</v>
      </c>
      <c r="G9" s="27">
        <v>1.0</v>
      </c>
      <c r="H9" s="145" t="s">
        <v>201</v>
      </c>
    </row>
    <row r="10" ht="33.75" customHeight="1">
      <c r="A10" s="87">
        <v>25458.0</v>
      </c>
      <c r="B10" s="89" t="s">
        <v>25</v>
      </c>
      <c r="C10" s="89">
        <v>710.0</v>
      </c>
      <c r="D10" s="89" t="s">
        <v>39</v>
      </c>
      <c r="E10" s="90">
        <v>244603.0</v>
      </c>
      <c r="F10" s="90">
        <v>244604.0</v>
      </c>
      <c r="G10" s="89">
        <v>1.0</v>
      </c>
      <c r="H10" s="147" t="s">
        <v>201</v>
      </c>
    </row>
    <row r="11" ht="33.75" customHeight="1">
      <c r="A11" s="83">
        <v>25458.0</v>
      </c>
      <c r="B11" s="27" t="s">
        <v>25</v>
      </c>
      <c r="C11" s="27">
        <v>711.0</v>
      </c>
      <c r="D11" s="27" t="s">
        <v>138</v>
      </c>
      <c r="E11" s="5">
        <v>244603.0</v>
      </c>
      <c r="F11" s="5">
        <v>244604.0</v>
      </c>
      <c r="G11" s="27">
        <v>2.0</v>
      </c>
      <c r="H11" s="145" t="s">
        <v>201</v>
      </c>
    </row>
    <row r="12" ht="33.75" customHeight="1">
      <c r="A12" s="87">
        <v>25458.0</v>
      </c>
      <c r="B12" s="89" t="s">
        <v>25</v>
      </c>
      <c r="C12" s="89">
        <v>716.0</v>
      </c>
      <c r="D12" s="89" t="s">
        <v>50</v>
      </c>
      <c r="E12" s="90">
        <v>244602.0</v>
      </c>
      <c r="F12" s="90">
        <v>244604.0</v>
      </c>
      <c r="G12" s="142" t="s">
        <v>201</v>
      </c>
      <c r="H12" s="143">
        <v>2.0</v>
      </c>
    </row>
    <row r="13" ht="33.75" customHeight="1">
      <c r="A13" s="83">
        <v>25458.0</v>
      </c>
      <c r="B13" s="27" t="s">
        <v>25</v>
      </c>
      <c r="C13" s="27">
        <v>805.0</v>
      </c>
      <c r="D13" s="27" t="s">
        <v>52</v>
      </c>
      <c r="E13" s="5">
        <v>244602.0</v>
      </c>
      <c r="F13" s="5">
        <v>244604.0</v>
      </c>
      <c r="G13" s="141" t="s">
        <v>201</v>
      </c>
      <c r="H13" s="35">
        <v>1.0</v>
      </c>
    </row>
    <row r="14" ht="33.75" customHeight="1">
      <c r="A14" s="87">
        <v>25458.0</v>
      </c>
      <c r="B14" s="89" t="s">
        <v>25</v>
      </c>
      <c r="C14" s="89">
        <v>818.0</v>
      </c>
      <c r="D14" s="89" t="s">
        <v>53</v>
      </c>
      <c r="E14" s="90">
        <v>244603.0</v>
      </c>
      <c r="F14" s="90">
        <v>244604.0</v>
      </c>
      <c r="G14" s="89">
        <v>2.0</v>
      </c>
      <c r="H14" s="147" t="s">
        <v>201</v>
      </c>
    </row>
    <row r="15" ht="33.75" customHeight="1">
      <c r="A15" s="83">
        <v>25458.0</v>
      </c>
      <c r="B15" s="27" t="s">
        <v>25</v>
      </c>
      <c r="C15" s="27">
        <v>909.0</v>
      </c>
      <c r="D15" s="27" t="s">
        <v>55</v>
      </c>
      <c r="E15" s="5">
        <v>244603.0</v>
      </c>
      <c r="F15" s="5">
        <v>244604.0</v>
      </c>
      <c r="G15" s="141" t="s">
        <v>201</v>
      </c>
      <c r="H15" s="35">
        <v>3.0</v>
      </c>
    </row>
    <row r="16" ht="33.75" customHeight="1">
      <c r="A16" s="100">
        <v>25458.0</v>
      </c>
      <c r="B16" s="102" t="s">
        <v>25</v>
      </c>
      <c r="C16" s="102">
        <v>919.0</v>
      </c>
      <c r="D16" s="102" t="s">
        <v>57</v>
      </c>
      <c r="E16" s="104">
        <v>244603.0</v>
      </c>
      <c r="F16" s="104">
        <v>244607.0</v>
      </c>
      <c r="G16" s="153" t="s">
        <v>201</v>
      </c>
      <c r="H16" s="154">
        <v>1.0</v>
      </c>
    </row>
    <row r="17" ht="23.25" customHeight="1">
      <c r="A17" s="42"/>
      <c r="B17" s="42"/>
    </row>
    <row r="18" ht="29.25" customHeight="1">
      <c r="A18" s="112" t="s">
        <v>164</v>
      </c>
      <c r="B18" s="114">
        <v>12.0</v>
      </c>
      <c r="C18" s="115"/>
      <c r="D18" s="115"/>
      <c r="E18" s="112"/>
      <c r="F18" s="112" t="s">
        <v>168</v>
      </c>
      <c r="G18" s="114">
        <v>8.0</v>
      </c>
      <c r="H18" s="114">
        <v>10.0</v>
      </c>
    </row>
    <row r="19" ht="23.25" customHeight="1">
      <c r="A19" s="43"/>
      <c r="B19" s="43"/>
      <c r="C19" s="43"/>
      <c r="D19" s="43"/>
      <c r="E19" s="43"/>
      <c r="F19" s="43"/>
      <c r="G19" s="43"/>
    </row>
    <row r="20" ht="23.25" customHeight="1">
      <c r="A20" s="44"/>
      <c r="B20" s="44"/>
    </row>
    <row r="21" ht="23.25" customHeight="1">
      <c r="A21" s="44"/>
      <c r="B21" s="44"/>
      <c r="C21" s="43"/>
    </row>
    <row r="22" ht="23.25" customHeight="1">
      <c r="A22" s="44"/>
      <c r="B22" s="44"/>
    </row>
    <row r="23" ht="23.25" customHeight="1"/>
    <row r="24" ht="23.25" customHeight="1"/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</sheetData>
  <mergeCells count="3">
    <mergeCell ref="A1:D1"/>
    <mergeCell ref="A2:B2"/>
    <mergeCell ref="B3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18.29"/>
    <col customWidth="1" min="3" max="3" width="23.0"/>
    <col customWidth="1" min="4" max="4" width="55.86"/>
    <col customWidth="1" min="5" max="5" width="32.0"/>
    <col customWidth="1" min="6" max="6" width="25.71"/>
    <col customWidth="1" min="7" max="7" width="27.29"/>
    <col customWidth="1" min="8" max="8" width="24.29"/>
    <col customWidth="1" min="9" max="9" width="25.71"/>
    <col customWidth="1" min="10" max="10" width="52.71"/>
  </cols>
  <sheetData>
    <row r="1" ht="37.5" customHeight="1">
      <c r="A1" s="1" t="s">
        <v>202</v>
      </c>
    </row>
    <row r="2" ht="30.0" customHeight="1">
      <c r="A2" s="75" t="s">
        <v>203</v>
      </c>
      <c r="B2" s="134"/>
      <c r="C2" s="155" t="s">
        <v>204</v>
      </c>
      <c r="D2" s="134"/>
      <c r="E2" s="134"/>
      <c r="F2" s="3"/>
      <c r="G2" s="3"/>
    </row>
    <row r="3" ht="30.0" customHeight="1">
      <c r="A3" s="7" t="s">
        <v>205</v>
      </c>
      <c r="C3" s="111" t="s">
        <v>206</v>
      </c>
      <c r="E3" s="7"/>
      <c r="F3" s="7"/>
      <c r="G3" s="7"/>
      <c r="H3" s="10"/>
      <c r="J3" s="10"/>
    </row>
    <row r="4" ht="23.25" customHeight="1">
      <c r="A4" s="7"/>
      <c r="B4" s="7"/>
      <c r="H4" s="10"/>
      <c r="J4" s="10"/>
    </row>
    <row r="5" ht="43.5" customHeight="1">
      <c r="A5" s="156" t="s">
        <v>117</v>
      </c>
      <c r="B5" s="139" t="s">
        <v>6</v>
      </c>
      <c r="C5" s="139" t="s">
        <v>9</v>
      </c>
      <c r="D5" s="139" t="s">
        <v>207</v>
      </c>
      <c r="E5" s="139" t="s">
        <v>208</v>
      </c>
      <c r="F5" s="139" t="s">
        <v>12</v>
      </c>
      <c r="G5" s="139" t="s">
        <v>13</v>
      </c>
      <c r="H5" s="139" t="s">
        <v>14</v>
      </c>
      <c r="I5" s="157" t="s">
        <v>209</v>
      </c>
      <c r="J5" s="158" t="s">
        <v>210</v>
      </c>
      <c r="K5" s="159"/>
    </row>
    <row r="6" ht="33.75" customHeight="1">
      <c r="A6" s="140">
        <v>25458.0</v>
      </c>
      <c r="B6" s="27" t="s">
        <v>25</v>
      </c>
      <c r="C6" s="27">
        <v>501.0</v>
      </c>
      <c r="D6" s="160" t="s">
        <v>211</v>
      </c>
      <c r="E6" s="161" t="s">
        <v>212</v>
      </c>
      <c r="F6" s="5">
        <v>244604.0</v>
      </c>
      <c r="G6" s="5">
        <v>244606.0</v>
      </c>
      <c r="H6" s="27">
        <v>2.0</v>
      </c>
      <c r="I6" s="27">
        <v>1600.0</v>
      </c>
      <c r="J6" s="35"/>
    </row>
    <row r="7" ht="33.75" customHeight="1">
      <c r="A7" s="146">
        <v>25458.0</v>
      </c>
      <c r="B7" s="89" t="s">
        <v>25</v>
      </c>
      <c r="C7" s="89">
        <v>502.0</v>
      </c>
      <c r="D7" s="162" t="s">
        <v>211</v>
      </c>
      <c r="E7" s="163" t="s">
        <v>212</v>
      </c>
      <c r="F7" s="90">
        <v>244604.0</v>
      </c>
      <c r="G7" s="90">
        <v>244606.0</v>
      </c>
      <c r="H7" s="89">
        <v>2.0</v>
      </c>
      <c r="I7" s="89">
        <v>1600.0</v>
      </c>
      <c r="J7" s="143"/>
    </row>
    <row r="8" ht="33.75" customHeight="1">
      <c r="A8" s="140">
        <v>25458.0</v>
      </c>
      <c r="B8" s="27" t="s">
        <v>25</v>
      </c>
      <c r="C8" s="27">
        <v>617.0</v>
      </c>
      <c r="D8" s="164" t="s">
        <v>214</v>
      </c>
      <c r="E8" s="161" t="s">
        <v>212</v>
      </c>
      <c r="F8" s="5">
        <v>244604.0</v>
      </c>
      <c r="G8" s="5">
        <v>244607.0</v>
      </c>
      <c r="H8" s="27">
        <v>3.0</v>
      </c>
      <c r="I8" s="27">
        <v>3000.0</v>
      </c>
      <c r="J8" s="35"/>
    </row>
    <row r="9" ht="33.75" customHeight="1">
      <c r="A9" s="146">
        <v>25458.0</v>
      </c>
      <c r="B9" s="89" t="s">
        <v>25</v>
      </c>
      <c r="C9" s="89">
        <v>619.0</v>
      </c>
      <c r="D9" s="166" t="s">
        <v>215</v>
      </c>
      <c r="E9" s="163" t="s">
        <v>212</v>
      </c>
      <c r="F9" s="90">
        <v>244604.0</v>
      </c>
      <c r="G9" s="90">
        <v>244605.0</v>
      </c>
      <c r="H9" s="89">
        <v>1.0</v>
      </c>
      <c r="I9" s="89">
        <v>800.0</v>
      </c>
      <c r="J9" s="143"/>
    </row>
    <row r="10" ht="33.75" customHeight="1">
      <c r="A10" s="140">
        <v>25458.0</v>
      </c>
      <c r="B10" s="27" t="s">
        <v>25</v>
      </c>
      <c r="C10" s="27">
        <v>705.0</v>
      </c>
      <c r="D10" s="164" t="s">
        <v>217</v>
      </c>
      <c r="E10" s="161" t="s">
        <v>218</v>
      </c>
      <c r="F10" s="5">
        <v>244604.0</v>
      </c>
      <c r="G10" s="5">
        <v>244605.0</v>
      </c>
      <c r="H10" s="27">
        <v>1.0</v>
      </c>
      <c r="I10" s="27">
        <v>800.0</v>
      </c>
      <c r="J10" s="35"/>
    </row>
    <row r="11" ht="33.75" customHeight="1">
      <c r="A11" s="146">
        <v>25458.0</v>
      </c>
      <c r="B11" s="89" t="s">
        <v>25</v>
      </c>
      <c r="C11" s="89">
        <v>710.0</v>
      </c>
      <c r="D11" s="166" t="s">
        <v>219</v>
      </c>
      <c r="E11" s="163" t="s">
        <v>218</v>
      </c>
      <c r="F11" s="90">
        <v>244604.0</v>
      </c>
      <c r="G11" s="90">
        <v>244605.0</v>
      </c>
      <c r="H11" s="89">
        <v>1.0</v>
      </c>
      <c r="I11" s="89">
        <v>1000.0</v>
      </c>
      <c r="J11" s="143"/>
    </row>
    <row r="12" ht="33.75" customHeight="1">
      <c r="A12" s="140">
        <v>25459.0</v>
      </c>
      <c r="B12" s="27" t="s">
        <v>25</v>
      </c>
      <c r="C12" s="27">
        <v>711.0</v>
      </c>
      <c r="D12" s="164" t="s">
        <v>220</v>
      </c>
      <c r="E12" s="161" t="s">
        <v>212</v>
      </c>
      <c r="F12" s="5">
        <v>244605.0</v>
      </c>
      <c r="G12" s="5">
        <v>244606.0</v>
      </c>
      <c r="H12" s="27">
        <v>1.0</v>
      </c>
      <c r="I12" s="27">
        <v>1000.0</v>
      </c>
      <c r="J12" s="35"/>
    </row>
    <row r="13" ht="33.75" customHeight="1">
      <c r="A13" s="146">
        <v>25459.0</v>
      </c>
      <c r="B13" s="89" t="s">
        <v>25</v>
      </c>
      <c r="C13" s="89">
        <v>716.0</v>
      </c>
      <c r="D13" s="166" t="s">
        <v>221</v>
      </c>
      <c r="E13" s="163" t="s">
        <v>222</v>
      </c>
      <c r="F13" s="90">
        <v>244605.0</v>
      </c>
      <c r="G13" s="90">
        <v>244606.0</v>
      </c>
      <c r="H13" s="89">
        <v>1.0</v>
      </c>
      <c r="I13" s="89">
        <v>1000.0</v>
      </c>
      <c r="J13" s="143"/>
    </row>
    <row r="14" ht="33.75" customHeight="1">
      <c r="A14" s="140">
        <v>25459.0</v>
      </c>
      <c r="B14" s="27" t="s">
        <v>25</v>
      </c>
      <c r="C14" s="27">
        <v>805.0</v>
      </c>
      <c r="D14" s="164" t="s">
        <v>223</v>
      </c>
      <c r="E14" s="161" t="s">
        <v>212</v>
      </c>
      <c r="F14" s="5">
        <v>244605.0</v>
      </c>
      <c r="G14" s="5">
        <v>244610.0</v>
      </c>
      <c r="H14" s="27">
        <v>5.0</v>
      </c>
      <c r="I14" s="27">
        <v>4000.0</v>
      </c>
      <c r="J14" s="35"/>
    </row>
    <row r="15" ht="33.75" customHeight="1">
      <c r="A15" s="146">
        <v>25459.0</v>
      </c>
      <c r="B15" s="89" t="s">
        <v>25</v>
      </c>
      <c r="C15" s="89">
        <v>818.0</v>
      </c>
      <c r="D15" s="166" t="s">
        <v>225</v>
      </c>
      <c r="E15" s="163" t="s">
        <v>212</v>
      </c>
      <c r="F15" s="90">
        <v>244605.0</v>
      </c>
      <c r="G15" s="90">
        <v>244606.0</v>
      </c>
      <c r="H15" s="89">
        <v>1.0</v>
      </c>
      <c r="I15" s="89">
        <v>1500.0</v>
      </c>
      <c r="J15" s="143"/>
    </row>
    <row r="16" ht="33.75" customHeight="1">
      <c r="A16" s="140">
        <v>25459.0</v>
      </c>
      <c r="B16" s="27" t="s">
        <v>25</v>
      </c>
      <c r="C16" s="27">
        <v>909.0</v>
      </c>
      <c r="D16" s="164" t="s">
        <v>233</v>
      </c>
      <c r="E16" s="161" t="s">
        <v>212</v>
      </c>
      <c r="F16" s="5">
        <v>244605.0</v>
      </c>
      <c r="G16" s="5">
        <v>244609.0</v>
      </c>
      <c r="H16" s="27">
        <v>4.0</v>
      </c>
      <c r="I16" s="27">
        <v>6000.0</v>
      </c>
      <c r="J16" s="35"/>
    </row>
    <row r="17" ht="33.75" customHeight="1">
      <c r="A17" s="174">
        <v>25459.0</v>
      </c>
      <c r="B17" s="102" t="s">
        <v>25</v>
      </c>
      <c r="C17" s="102">
        <v>919.0</v>
      </c>
      <c r="D17" s="176" t="s">
        <v>235</v>
      </c>
      <c r="E17" s="177" t="s">
        <v>212</v>
      </c>
      <c r="F17" s="104">
        <v>244605.0</v>
      </c>
      <c r="G17" s="104">
        <v>244606.0</v>
      </c>
      <c r="H17" s="102">
        <v>1.0</v>
      </c>
      <c r="I17" s="102">
        <v>800.0</v>
      </c>
      <c r="J17" s="179" t="s">
        <v>237</v>
      </c>
    </row>
    <row r="18" ht="23.25" customHeight="1">
      <c r="A18" s="42"/>
      <c r="B18" s="42"/>
    </row>
    <row r="19" ht="29.25" customHeight="1">
      <c r="A19" s="112"/>
      <c r="B19" s="112"/>
      <c r="C19" s="115"/>
      <c r="D19" s="115"/>
      <c r="E19" s="112" t="s">
        <v>164</v>
      </c>
      <c r="F19" s="114">
        <v>12.0</v>
      </c>
      <c r="G19" s="112"/>
      <c r="H19" s="112" t="s">
        <v>168</v>
      </c>
      <c r="I19" s="114">
        <f>sum(I6:I17)</f>
        <v>23100</v>
      </c>
      <c r="J19" s="112"/>
    </row>
    <row r="20" ht="23.25" customHeight="1">
      <c r="A20" s="43"/>
      <c r="B20" s="43"/>
      <c r="C20" s="43"/>
      <c r="D20" s="43"/>
      <c r="E20" s="43"/>
      <c r="F20" s="43"/>
      <c r="G20" s="43"/>
    </row>
    <row r="21" ht="23.25" customHeight="1">
      <c r="A21" s="44"/>
      <c r="B21" s="44"/>
    </row>
    <row r="22" ht="23.25" customHeight="1">
      <c r="A22" s="44"/>
      <c r="B22" s="44"/>
      <c r="C22" s="43"/>
    </row>
    <row r="23" ht="23.25" customHeight="1">
      <c r="A23" s="44"/>
      <c r="B23" s="44"/>
    </row>
    <row r="24" ht="23.25" customHeight="1"/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</sheetData>
  <mergeCells count="6">
    <mergeCell ref="A1:D1"/>
    <mergeCell ref="A2:B2"/>
    <mergeCell ref="C2:E2"/>
    <mergeCell ref="A3:B3"/>
    <mergeCell ref="C3:D3"/>
    <mergeCell ref="B4:G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6.57"/>
    <col customWidth="1" min="3" max="3" width="46.0"/>
    <col customWidth="1" min="4" max="4" width="27.14"/>
    <col customWidth="1" min="5" max="5" width="27.0"/>
    <col customWidth="1" min="6" max="6" width="25.71"/>
    <col customWidth="1" min="7" max="7" width="33.29"/>
    <col customWidth="1" min="8" max="8" width="37.43"/>
    <col customWidth="1" min="9" max="9" width="7.71"/>
    <col customWidth="1" min="10" max="10" width="18.86"/>
    <col customWidth="1" min="11" max="11" width="20.14"/>
    <col customWidth="1" min="12" max="12" width="5.0"/>
    <col customWidth="1" min="13" max="13" width="18.0"/>
    <col customWidth="1" min="14" max="14" width="20.86"/>
  </cols>
  <sheetData>
    <row r="1" ht="37.5" customHeight="1">
      <c r="A1" s="1" t="s">
        <v>213</v>
      </c>
      <c r="I1" s="165"/>
      <c r="J1" s="165"/>
      <c r="K1" s="165"/>
      <c r="L1" s="165"/>
      <c r="M1" s="165"/>
    </row>
    <row r="2" ht="23.25" customHeight="1">
      <c r="A2" s="167" t="s">
        <v>216</v>
      </c>
      <c r="B2" s="76"/>
      <c r="C2" s="5">
        <v>244601.0</v>
      </c>
      <c r="E2" s="133"/>
      <c r="F2" s="168"/>
      <c r="G2" s="169"/>
      <c r="H2" s="169"/>
      <c r="I2" s="170"/>
      <c r="J2" s="170"/>
      <c r="K2" s="170"/>
      <c r="L2" s="170"/>
      <c r="M2" s="165"/>
    </row>
    <row r="3" ht="23.25" customHeight="1">
      <c r="A3" s="7"/>
      <c r="B3" s="7"/>
      <c r="M3" s="165"/>
      <c r="N3" s="10"/>
    </row>
    <row r="4" ht="43.5" customHeight="1">
      <c r="A4" s="171" t="s">
        <v>224</v>
      </c>
      <c r="B4" s="171" t="s">
        <v>226</v>
      </c>
      <c r="C4" s="171" t="s">
        <v>227</v>
      </c>
      <c r="D4" s="171" t="s">
        <v>228</v>
      </c>
      <c r="E4" s="171" t="s">
        <v>229</v>
      </c>
      <c r="F4" s="171" t="s">
        <v>230</v>
      </c>
      <c r="G4" s="171" t="s">
        <v>231</v>
      </c>
      <c r="H4" s="171" t="s">
        <v>232</v>
      </c>
      <c r="I4" s="172"/>
      <c r="J4" s="173" t="s">
        <v>226</v>
      </c>
      <c r="K4" s="175" t="s">
        <v>234</v>
      </c>
      <c r="L4" s="172"/>
      <c r="M4" s="173" t="s">
        <v>228</v>
      </c>
      <c r="N4" s="27" t="s">
        <v>236</v>
      </c>
    </row>
    <row r="5" ht="27.75" customHeight="1">
      <c r="A5" s="178">
        <v>501.0</v>
      </c>
      <c r="B5" s="27" t="s">
        <v>238</v>
      </c>
      <c r="C5" s="28" t="s">
        <v>239</v>
      </c>
      <c r="D5" s="27" t="s">
        <v>236</v>
      </c>
      <c r="E5" s="180">
        <v>244601.0</v>
      </c>
      <c r="F5" s="180">
        <v>244605.0</v>
      </c>
      <c r="G5" s="181">
        <v>3.0</v>
      </c>
      <c r="H5" s="181"/>
      <c r="I5" s="182"/>
      <c r="J5" s="182"/>
      <c r="K5" s="183" t="s">
        <v>238</v>
      </c>
      <c r="L5" s="184"/>
      <c r="M5" s="184"/>
      <c r="N5" s="45" t="s">
        <v>240</v>
      </c>
    </row>
    <row r="6" ht="27.75" customHeight="1">
      <c r="A6" s="178">
        <v>502.0</v>
      </c>
      <c r="B6" s="27" t="s">
        <v>238</v>
      </c>
      <c r="C6" s="28" t="s">
        <v>239</v>
      </c>
      <c r="D6" s="27" t="s">
        <v>236</v>
      </c>
      <c r="E6" s="180">
        <v>244601.0</v>
      </c>
      <c r="F6" s="180">
        <v>244605.0</v>
      </c>
      <c r="G6" s="181">
        <v>3.0</v>
      </c>
      <c r="H6" s="181"/>
      <c r="I6" s="182"/>
      <c r="J6" s="182"/>
      <c r="K6" s="45" t="s">
        <v>241</v>
      </c>
      <c r="L6" s="184"/>
      <c r="M6" s="184"/>
      <c r="N6" s="45" t="s">
        <v>242</v>
      </c>
    </row>
    <row r="7" ht="27.75" customHeight="1">
      <c r="A7" s="178">
        <v>503.0</v>
      </c>
      <c r="B7" s="27" t="s">
        <v>238</v>
      </c>
      <c r="C7" s="28" t="s">
        <v>239</v>
      </c>
      <c r="D7" s="27" t="s">
        <v>236</v>
      </c>
      <c r="E7" s="180">
        <v>244601.0</v>
      </c>
      <c r="F7" s="180">
        <v>244604.0</v>
      </c>
      <c r="G7" s="181">
        <v>2.0</v>
      </c>
      <c r="H7" s="181"/>
      <c r="I7" s="182"/>
      <c r="J7" s="182"/>
      <c r="K7" s="182"/>
      <c r="L7" s="184"/>
      <c r="M7" s="184"/>
      <c r="N7" s="45" t="s">
        <v>241</v>
      </c>
    </row>
    <row r="8" ht="39.0" customHeight="1">
      <c r="A8" s="178">
        <v>504.0</v>
      </c>
      <c r="B8" s="27" t="s">
        <v>238</v>
      </c>
      <c r="C8" s="28" t="s">
        <v>239</v>
      </c>
      <c r="D8" s="27" t="s">
        <v>236</v>
      </c>
      <c r="E8" s="180">
        <v>244601.0</v>
      </c>
      <c r="F8" s="180">
        <v>244604.0</v>
      </c>
      <c r="G8" s="181">
        <v>2.0</v>
      </c>
      <c r="H8" s="181"/>
      <c r="I8" s="182"/>
      <c r="J8" s="185" t="s">
        <v>227</v>
      </c>
      <c r="K8" s="186" t="s">
        <v>239</v>
      </c>
      <c r="L8" s="184"/>
      <c r="M8" s="184"/>
    </row>
    <row r="9" ht="27.75" customHeight="1">
      <c r="A9" s="178">
        <v>505.0</v>
      </c>
      <c r="B9" s="27" t="s">
        <v>238</v>
      </c>
      <c r="C9" s="28" t="s">
        <v>239</v>
      </c>
      <c r="D9" s="27" t="s">
        <v>236</v>
      </c>
      <c r="E9" s="180">
        <v>244601.0</v>
      </c>
      <c r="F9" s="180">
        <v>244604.0</v>
      </c>
      <c r="G9" s="181">
        <v>2.0</v>
      </c>
      <c r="H9" s="181"/>
      <c r="I9" s="182"/>
      <c r="J9" s="182"/>
      <c r="K9" s="182" t="s">
        <v>243</v>
      </c>
      <c r="L9" s="184"/>
      <c r="M9" s="184"/>
    </row>
    <row r="10" ht="27.75" customHeight="1">
      <c r="A10" s="27">
        <v>506.0</v>
      </c>
      <c r="B10" s="27" t="s">
        <v>238</v>
      </c>
      <c r="C10" s="28" t="s">
        <v>239</v>
      </c>
      <c r="D10" s="45" t="s">
        <v>242</v>
      </c>
      <c r="E10" s="187">
        <v>244601.0</v>
      </c>
      <c r="F10" s="180">
        <v>244604.0</v>
      </c>
      <c r="G10" s="85">
        <v>2.0</v>
      </c>
      <c r="H10" s="85"/>
      <c r="I10" s="182"/>
      <c r="J10" s="182"/>
      <c r="K10" s="182"/>
      <c r="L10" s="184"/>
      <c r="M10" s="184"/>
    </row>
    <row r="11" ht="27.75" customHeight="1">
      <c r="A11" s="188">
        <v>507.0</v>
      </c>
      <c r="B11" s="189" t="s">
        <v>234</v>
      </c>
      <c r="C11" s="190"/>
      <c r="D11" s="190"/>
      <c r="E11" s="190">
        <v>244601.0</v>
      </c>
      <c r="F11" s="190">
        <v>244605.0</v>
      </c>
      <c r="G11" s="191">
        <v>3.0</v>
      </c>
      <c r="H11" s="191"/>
      <c r="I11" s="182"/>
      <c r="J11" s="182"/>
      <c r="K11" s="182"/>
      <c r="L11" s="184"/>
      <c r="M11" s="184"/>
    </row>
    <row r="12" ht="32.25" customHeight="1">
      <c r="A12" s="188">
        <v>508.0</v>
      </c>
      <c r="B12" s="189" t="s">
        <v>234</v>
      </c>
      <c r="C12" s="190"/>
      <c r="D12" s="190"/>
      <c r="E12" s="190">
        <v>244601.0</v>
      </c>
      <c r="F12" s="190">
        <v>244605.0</v>
      </c>
      <c r="G12" s="191">
        <v>3.0</v>
      </c>
      <c r="H12" s="191"/>
      <c r="I12" s="182"/>
      <c r="J12" s="182"/>
      <c r="K12" s="182"/>
      <c r="L12" s="184"/>
      <c r="M12" s="184"/>
    </row>
    <row r="13" ht="32.25" customHeight="1">
      <c r="A13" s="188">
        <v>509.0</v>
      </c>
      <c r="B13" s="189" t="s">
        <v>234</v>
      </c>
      <c r="C13" s="190"/>
      <c r="D13" s="190"/>
      <c r="E13" s="190">
        <v>244601.0</v>
      </c>
      <c r="F13" s="190">
        <v>244605.0</v>
      </c>
      <c r="G13" s="191">
        <v>3.0</v>
      </c>
      <c r="H13" s="191"/>
      <c r="I13" s="182"/>
      <c r="J13" s="182"/>
      <c r="K13" s="182"/>
      <c r="L13" s="184"/>
      <c r="M13" s="184"/>
    </row>
    <row r="14" ht="32.25" customHeight="1">
      <c r="A14" s="188">
        <v>510.0</v>
      </c>
      <c r="B14" s="189" t="s">
        <v>234</v>
      </c>
      <c r="C14" s="190"/>
      <c r="D14" s="190"/>
      <c r="E14" s="190">
        <v>244601.0</v>
      </c>
      <c r="F14" s="190">
        <v>244606.0</v>
      </c>
      <c r="G14" s="191">
        <v>4.0</v>
      </c>
      <c r="H14" s="191"/>
      <c r="I14" s="182"/>
      <c r="J14" s="182"/>
      <c r="K14" s="182"/>
      <c r="L14" s="182"/>
      <c r="M14" s="184"/>
    </row>
    <row r="15" ht="32.25" customHeight="1">
      <c r="A15" s="188">
        <v>511.0</v>
      </c>
      <c r="B15" s="189" t="s">
        <v>234</v>
      </c>
      <c r="C15" s="190"/>
      <c r="D15" s="190"/>
      <c r="E15" s="190">
        <v>244601.0</v>
      </c>
      <c r="F15" s="190">
        <v>244607.0</v>
      </c>
      <c r="G15" s="191">
        <v>5.0</v>
      </c>
      <c r="H15" s="191"/>
      <c r="I15" s="182"/>
      <c r="J15" s="182"/>
      <c r="K15" s="182"/>
      <c r="L15" s="184"/>
      <c r="M15" s="182"/>
    </row>
    <row r="16" ht="32.25" customHeight="1">
      <c r="A16" s="188">
        <v>512.0</v>
      </c>
      <c r="B16" s="189" t="s">
        <v>234</v>
      </c>
      <c r="C16" s="190"/>
      <c r="D16" s="190"/>
      <c r="E16" s="190">
        <v>244601.0</v>
      </c>
      <c r="F16" s="190">
        <v>244607.0</v>
      </c>
      <c r="G16" s="191">
        <v>5.0</v>
      </c>
      <c r="H16" s="191"/>
      <c r="I16" s="182"/>
      <c r="J16" s="182"/>
      <c r="K16" s="182"/>
      <c r="L16" s="184"/>
      <c r="M16" s="182"/>
    </row>
    <row r="17" ht="23.25" customHeight="1">
      <c r="A17" s="192">
        <v>513.0</v>
      </c>
      <c r="B17" s="192" t="s">
        <v>238</v>
      </c>
      <c r="C17" s="193" t="s">
        <v>244</v>
      </c>
      <c r="D17" s="194"/>
      <c r="E17" s="195"/>
      <c r="F17" s="195"/>
      <c r="G17" s="194"/>
      <c r="H17" s="194"/>
      <c r="I17" s="196"/>
      <c r="J17" s="196"/>
      <c r="K17" s="196"/>
      <c r="L17" s="196"/>
      <c r="M17" s="196"/>
    </row>
    <row r="18" ht="23.25" customHeight="1">
      <c r="A18" s="27">
        <v>514.0</v>
      </c>
      <c r="B18" s="27" t="s">
        <v>238</v>
      </c>
      <c r="C18" s="28" t="s">
        <v>239</v>
      </c>
      <c r="D18" s="45" t="s">
        <v>240</v>
      </c>
      <c r="E18" s="187">
        <v>244601.0</v>
      </c>
      <c r="F18" s="180">
        <v>244602.0</v>
      </c>
      <c r="G18" s="196">
        <v>1.0</v>
      </c>
      <c r="H18" s="196"/>
      <c r="I18" s="196"/>
      <c r="J18" s="196"/>
      <c r="K18" s="197"/>
      <c r="L18" s="197"/>
      <c r="M18" s="197"/>
    </row>
    <row r="19" ht="23.25" customHeight="1">
      <c r="A19" s="27">
        <v>515.0</v>
      </c>
      <c r="B19" s="27" t="s">
        <v>238</v>
      </c>
      <c r="C19" s="28" t="s">
        <v>239</v>
      </c>
      <c r="D19" s="27" t="s">
        <v>236</v>
      </c>
      <c r="E19" s="187">
        <v>244601.0</v>
      </c>
      <c r="F19" s="180">
        <v>244602.0</v>
      </c>
      <c r="G19" s="196">
        <v>1.0</v>
      </c>
      <c r="H19" s="196"/>
      <c r="I19" s="196"/>
      <c r="J19" s="196"/>
      <c r="K19" s="196"/>
      <c r="L19" s="196"/>
      <c r="M19" s="196"/>
    </row>
    <row r="20" ht="23.25" customHeight="1">
      <c r="A20" s="198">
        <v>516.0</v>
      </c>
      <c r="B20" s="199" t="s">
        <v>241</v>
      </c>
      <c r="C20" s="199" t="s">
        <v>245</v>
      </c>
      <c r="D20" s="199" t="s">
        <v>241</v>
      </c>
      <c r="E20" s="200"/>
      <c r="F20" s="200"/>
      <c r="G20" s="199"/>
      <c r="H20" s="201"/>
      <c r="I20" s="202"/>
      <c r="J20" s="202"/>
      <c r="K20" s="165"/>
      <c r="L20" s="165"/>
      <c r="M20" s="165"/>
    </row>
    <row r="21" ht="23.25" customHeight="1">
      <c r="A21" s="183">
        <v>517.0</v>
      </c>
      <c r="B21" s="175" t="s">
        <v>234</v>
      </c>
      <c r="C21" s="28" t="s">
        <v>239</v>
      </c>
      <c r="D21" s="27" t="s">
        <v>236</v>
      </c>
      <c r="E21" s="203">
        <v>244600.0</v>
      </c>
      <c r="F21" s="204">
        <v>244601.0</v>
      </c>
      <c r="G21" s="196">
        <v>1.0</v>
      </c>
      <c r="H21" s="202"/>
      <c r="I21" s="202"/>
      <c r="J21" s="202"/>
      <c r="K21" s="165"/>
      <c r="L21" s="165"/>
      <c r="M21" s="165"/>
    </row>
    <row r="22" ht="23.25" customHeight="1">
      <c r="A22" s="183">
        <v>518.0</v>
      </c>
      <c r="B22" s="175" t="s">
        <v>234</v>
      </c>
      <c r="C22" s="45" t="s">
        <v>243</v>
      </c>
      <c r="D22" s="27" t="s">
        <v>236</v>
      </c>
      <c r="E22" s="203">
        <v>244600.0</v>
      </c>
      <c r="F22" s="204">
        <v>244601.0</v>
      </c>
      <c r="G22" s="196">
        <v>1.0</v>
      </c>
      <c r="H22" s="202"/>
      <c r="I22" s="202"/>
      <c r="J22" s="202"/>
      <c r="K22" s="165"/>
      <c r="L22" s="165"/>
      <c r="M22" s="165"/>
    </row>
    <row r="23" ht="23.25" customHeight="1">
      <c r="A23" s="183">
        <v>519.0</v>
      </c>
      <c r="B23" s="175" t="s">
        <v>234</v>
      </c>
      <c r="C23" s="45" t="s">
        <v>243</v>
      </c>
      <c r="D23" s="27" t="s">
        <v>236</v>
      </c>
      <c r="E23" s="203">
        <v>244600.0</v>
      </c>
      <c r="F23" s="204">
        <v>244601.0</v>
      </c>
      <c r="G23" s="196">
        <v>1.0</v>
      </c>
      <c r="H23" s="202"/>
      <c r="I23" s="202"/>
      <c r="J23" s="202"/>
      <c r="K23" s="165"/>
      <c r="L23" s="165"/>
      <c r="M23" s="165"/>
    </row>
    <row r="24" ht="23.25" customHeight="1">
      <c r="A24" s="183">
        <v>520.0</v>
      </c>
      <c r="B24" s="175" t="s">
        <v>234</v>
      </c>
      <c r="C24" s="45" t="s">
        <v>243</v>
      </c>
      <c r="D24" s="27" t="s">
        <v>236</v>
      </c>
      <c r="E24" s="203">
        <v>244600.0</v>
      </c>
      <c r="F24" s="204">
        <v>244601.0</v>
      </c>
      <c r="G24" s="196">
        <v>1.0</v>
      </c>
      <c r="H24" s="202"/>
      <c r="I24" s="202"/>
      <c r="J24" s="202"/>
      <c r="K24" s="165"/>
      <c r="L24" s="165"/>
      <c r="M24" s="165"/>
    </row>
    <row r="25" ht="23.25" customHeight="1">
      <c r="A25" s="205">
        <v>601.0</v>
      </c>
      <c r="B25" s="206" t="s">
        <v>234</v>
      </c>
      <c r="C25" s="207"/>
      <c r="D25" s="207"/>
      <c r="E25" s="208">
        <v>244601.0</v>
      </c>
      <c r="F25" s="209">
        <v>244602.0</v>
      </c>
      <c r="G25" s="205">
        <v>1.0</v>
      </c>
      <c r="H25" s="207"/>
      <c r="I25" s="202"/>
      <c r="J25" s="202"/>
      <c r="K25" s="165"/>
      <c r="L25" s="165"/>
      <c r="M25" s="165"/>
    </row>
    <row r="26" ht="23.25" customHeight="1">
      <c r="A26" s="205">
        <v>602.0</v>
      </c>
      <c r="B26" s="206" t="s">
        <v>234</v>
      </c>
      <c r="C26" s="207"/>
      <c r="D26" s="207"/>
      <c r="E26" s="208">
        <v>244601.0</v>
      </c>
      <c r="F26" s="209">
        <v>244602.0</v>
      </c>
      <c r="G26" s="205">
        <v>1.0</v>
      </c>
      <c r="H26" s="207"/>
      <c r="I26" s="202"/>
      <c r="J26" s="202"/>
      <c r="K26" s="165"/>
      <c r="L26" s="165"/>
      <c r="M26" s="165"/>
    </row>
    <row r="27" ht="23.25" customHeight="1">
      <c r="A27" s="205">
        <v>603.0</v>
      </c>
      <c r="B27" s="206" t="s">
        <v>234</v>
      </c>
      <c r="C27" s="207"/>
      <c r="D27" s="207"/>
      <c r="E27" s="208">
        <v>244601.0</v>
      </c>
      <c r="F27" s="209">
        <v>244602.0</v>
      </c>
      <c r="G27" s="205">
        <v>1.0</v>
      </c>
      <c r="H27" s="207"/>
      <c r="I27" s="202"/>
      <c r="J27" s="202"/>
      <c r="K27" s="165"/>
      <c r="L27" s="165"/>
      <c r="M27" s="165"/>
    </row>
    <row r="28" ht="23.25" customHeight="1">
      <c r="A28" s="205">
        <v>604.0</v>
      </c>
      <c r="B28" s="206" t="s">
        <v>234</v>
      </c>
      <c r="C28" s="207"/>
      <c r="D28" s="207"/>
      <c r="E28" s="208">
        <v>244601.0</v>
      </c>
      <c r="F28" s="209">
        <v>244602.0</v>
      </c>
      <c r="G28" s="205">
        <v>1.0</v>
      </c>
      <c r="H28" s="207"/>
      <c r="I28" s="202"/>
      <c r="J28" s="202"/>
      <c r="K28" s="165"/>
      <c r="L28" s="165"/>
      <c r="M28" s="165"/>
    </row>
    <row r="29" ht="23.25" customHeight="1">
      <c r="A29" s="205">
        <v>605.0</v>
      </c>
      <c r="B29" s="206" t="s">
        <v>234</v>
      </c>
      <c r="C29" s="207"/>
      <c r="D29" s="207"/>
      <c r="E29" s="208">
        <v>244601.0</v>
      </c>
      <c r="F29" s="209">
        <v>244602.0</v>
      </c>
      <c r="G29" s="205">
        <v>1.0</v>
      </c>
      <c r="H29" s="207"/>
      <c r="I29" s="202"/>
      <c r="J29" s="202"/>
      <c r="K29" s="165"/>
      <c r="L29" s="165"/>
      <c r="M29" s="165"/>
    </row>
    <row r="30" ht="23.25" customHeight="1">
      <c r="A30" s="205">
        <v>606.0</v>
      </c>
      <c r="B30" s="206" t="s">
        <v>234</v>
      </c>
      <c r="C30" s="207"/>
      <c r="D30" s="207"/>
      <c r="E30" s="208">
        <v>244601.0</v>
      </c>
      <c r="F30" s="209">
        <v>244602.0</v>
      </c>
      <c r="G30" s="205">
        <v>1.0</v>
      </c>
      <c r="H30" s="207"/>
      <c r="I30" s="202"/>
      <c r="J30" s="202"/>
      <c r="K30" s="165"/>
      <c r="L30" s="165"/>
      <c r="M30" s="165"/>
    </row>
    <row r="31" ht="23.25" customHeight="1">
      <c r="A31" s="205">
        <v>607.0</v>
      </c>
      <c r="B31" s="206" t="s">
        <v>234</v>
      </c>
      <c r="C31" s="207"/>
      <c r="D31" s="207"/>
      <c r="E31" s="208">
        <v>244601.0</v>
      </c>
      <c r="F31" s="209">
        <v>244602.0</v>
      </c>
      <c r="G31" s="205">
        <v>1.0</v>
      </c>
      <c r="H31" s="207"/>
      <c r="I31" s="202"/>
      <c r="J31" s="202"/>
      <c r="K31" s="165"/>
      <c r="L31" s="165"/>
      <c r="M31" s="165"/>
    </row>
    <row r="32" ht="23.25" customHeight="1">
      <c r="A32" s="205">
        <v>608.0</v>
      </c>
      <c r="B32" s="206" t="s">
        <v>234</v>
      </c>
      <c r="C32" s="207"/>
      <c r="D32" s="207"/>
      <c r="E32" s="208">
        <v>244601.0</v>
      </c>
      <c r="F32" s="209">
        <v>244602.0</v>
      </c>
      <c r="G32" s="205">
        <v>1.0</v>
      </c>
      <c r="H32" s="207"/>
      <c r="I32" s="202"/>
      <c r="J32" s="202"/>
      <c r="K32" s="165"/>
      <c r="L32" s="165"/>
      <c r="M32" s="165"/>
    </row>
    <row r="33" ht="23.25" customHeight="1">
      <c r="A33" s="205">
        <v>609.0</v>
      </c>
      <c r="B33" s="206" t="s">
        <v>234</v>
      </c>
      <c r="C33" s="207"/>
      <c r="D33" s="207"/>
      <c r="E33" s="208">
        <v>244601.0</v>
      </c>
      <c r="F33" s="209">
        <v>244602.0</v>
      </c>
      <c r="G33" s="205">
        <v>1.0</v>
      </c>
      <c r="H33" s="207"/>
      <c r="I33" s="202"/>
      <c r="J33" s="202"/>
      <c r="K33" s="165"/>
      <c r="L33" s="165"/>
      <c r="M33" s="165"/>
    </row>
    <row r="34" ht="23.25" customHeight="1">
      <c r="A34" s="205">
        <v>610.0</v>
      </c>
      <c r="B34" s="206" t="s">
        <v>234</v>
      </c>
      <c r="C34" s="207"/>
      <c r="D34" s="207"/>
      <c r="E34" s="208">
        <v>244601.0</v>
      </c>
      <c r="F34" s="209">
        <v>244602.0</v>
      </c>
      <c r="G34" s="205">
        <v>1.0</v>
      </c>
      <c r="H34" s="207"/>
      <c r="I34" s="202"/>
      <c r="J34" s="202"/>
      <c r="K34" s="165"/>
      <c r="L34" s="165"/>
      <c r="M34" s="165"/>
    </row>
    <row r="35" ht="23.25" customHeight="1">
      <c r="A35" s="205">
        <v>611.0</v>
      </c>
      <c r="B35" s="206" t="s">
        <v>234</v>
      </c>
      <c r="C35" s="207"/>
      <c r="D35" s="207"/>
      <c r="E35" s="208">
        <v>244601.0</v>
      </c>
      <c r="F35" s="209">
        <v>244602.0</v>
      </c>
      <c r="G35" s="205">
        <v>1.0</v>
      </c>
      <c r="H35" s="207"/>
      <c r="I35" s="202"/>
      <c r="J35" s="202"/>
      <c r="K35" s="165"/>
      <c r="L35" s="165"/>
      <c r="M35" s="165"/>
    </row>
    <row r="36" ht="23.25" customHeight="1">
      <c r="A36" s="205">
        <v>612.0</v>
      </c>
      <c r="B36" s="206" t="s">
        <v>234</v>
      </c>
      <c r="C36" s="207"/>
      <c r="D36" s="207"/>
      <c r="E36" s="208">
        <v>244601.0</v>
      </c>
      <c r="F36" s="209">
        <v>244602.0</v>
      </c>
      <c r="G36" s="205">
        <v>1.0</v>
      </c>
      <c r="H36" s="207"/>
      <c r="I36" s="202"/>
      <c r="J36" s="202"/>
      <c r="K36" s="165"/>
      <c r="L36" s="165"/>
      <c r="M36" s="165"/>
    </row>
    <row r="37" ht="23.25" customHeight="1">
      <c r="A37" s="205">
        <v>613.0</v>
      </c>
      <c r="B37" s="206" t="s">
        <v>234</v>
      </c>
      <c r="C37" s="207"/>
      <c r="D37" s="207"/>
      <c r="E37" s="208">
        <v>244601.0</v>
      </c>
      <c r="F37" s="209">
        <v>244602.0</v>
      </c>
      <c r="G37" s="205">
        <v>1.0</v>
      </c>
      <c r="H37" s="207"/>
      <c r="I37" s="202"/>
      <c r="J37" s="202"/>
      <c r="K37" s="165"/>
      <c r="L37" s="165"/>
      <c r="M37" s="165"/>
    </row>
    <row r="38" ht="23.25" customHeight="1">
      <c r="A38" s="205">
        <v>614.0</v>
      </c>
      <c r="B38" s="206" t="s">
        <v>234</v>
      </c>
      <c r="C38" s="207"/>
      <c r="D38" s="207"/>
      <c r="E38" s="208">
        <v>244601.0</v>
      </c>
      <c r="F38" s="209">
        <v>244602.0</v>
      </c>
      <c r="G38" s="205">
        <v>1.0</v>
      </c>
      <c r="H38" s="207"/>
      <c r="I38" s="202"/>
      <c r="J38" s="202"/>
      <c r="K38" s="165"/>
      <c r="L38" s="165"/>
      <c r="M38" s="165"/>
    </row>
    <row r="39" ht="23.25" customHeight="1">
      <c r="A39" s="205">
        <v>615.0</v>
      </c>
      <c r="B39" s="206" t="s">
        <v>234</v>
      </c>
      <c r="C39" s="207"/>
      <c r="D39" s="207"/>
      <c r="E39" s="208">
        <v>244601.0</v>
      </c>
      <c r="F39" s="209">
        <v>244602.0</v>
      </c>
      <c r="G39" s="205">
        <v>1.0</v>
      </c>
      <c r="H39" s="207"/>
      <c r="I39" s="202"/>
      <c r="J39" s="202"/>
      <c r="K39" s="165"/>
      <c r="L39" s="165"/>
      <c r="M39" s="165"/>
    </row>
    <row r="40" ht="23.25" customHeight="1">
      <c r="A40" s="205">
        <v>616.0</v>
      </c>
      <c r="B40" s="206" t="s">
        <v>234</v>
      </c>
      <c r="C40" s="207"/>
      <c r="D40" s="207"/>
      <c r="E40" s="208">
        <v>244601.0</v>
      </c>
      <c r="F40" s="209">
        <v>244602.0</v>
      </c>
      <c r="G40" s="205">
        <v>1.0</v>
      </c>
      <c r="H40" s="207"/>
      <c r="I40" s="202"/>
      <c r="J40" s="202"/>
      <c r="K40" s="165"/>
      <c r="L40" s="165"/>
      <c r="M40" s="165"/>
    </row>
    <row r="41" ht="23.25" customHeight="1">
      <c r="A41" s="205">
        <v>617.0</v>
      </c>
      <c r="B41" s="206" t="s">
        <v>234</v>
      </c>
      <c r="C41" s="207"/>
      <c r="D41" s="207"/>
      <c r="E41" s="208">
        <v>244601.0</v>
      </c>
      <c r="F41" s="209">
        <v>244602.0</v>
      </c>
      <c r="G41" s="205">
        <v>1.0</v>
      </c>
      <c r="H41" s="207"/>
      <c r="I41" s="202"/>
      <c r="J41" s="202"/>
      <c r="K41" s="165"/>
      <c r="L41" s="165"/>
      <c r="M41" s="165"/>
    </row>
    <row r="42" ht="23.25" customHeight="1">
      <c r="A42" s="205">
        <v>618.0</v>
      </c>
      <c r="B42" s="206" t="s">
        <v>234</v>
      </c>
      <c r="C42" s="207"/>
      <c r="D42" s="207"/>
      <c r="E42" s="208">
        <v>244601.0</v>
      </c>
      <c r="F42" s="209">
        <v>244602.0</v>
      </c>
      <c r="G42" s="205">
        <v>1.0</v>
      </c>
      <c r="H42" s="207"/>
      <c r="I42" s="202"/>
      <c r="J42" s="202"/>
      <c r="K42" s="165"/>
      <c r="L42" s="165"/>
      <c r="M42" s="165"/>
    </row>
    <row r="43" ht="23.25" customHeight="1">
      <c r="A43" s="205">
        <v>619.0</v>
      </c>
      <c r="B43" s="206" t="s">
        <v>234</v>
      </c>
      <c r="C43" s="207"/>
      <c r="D43" s="207"/>
      <c r="E43" s="208">
        <v>244601.0</v>
      </c>
      <c r="F43" s="209">
        <v>244602.0</v>
      </c>
      <c r="G43" s="205">
        <v>1.0</v>
      </c>
      <c r="H43" s="207"/>
      <c r="I43" s="202"/>
      <c r="J43" s="202"/>
      <c r="K43" s="165"/>
      <c r="L43" s="165"/>
      <c r="M43" s="165"/>
    </row>
    <row r="44" ht="23.25" customHeight="1">
      <c r="A44" s="45">
        <v>620.0</v>
      </c>
      <c r="B44" s="27" t="s">
        <v>238</v>
      </c>
      <c r="C44" s="28" t="s">
        <v>239</v>
      </c>
      <c r="D44" s="27" t="s">
        <v>236</v>
      </c>
      <c r="E44" s="187">
        <v>244601.0</v>
      </c>
      <c r="F44" s="180">
        <v>244602.0</v>
      </c>
      <c r="G44" s="45">
        <v>1.0</v>
      </c>
      <c r="H44" s="52"/>
      <c r="I44" s="202"/>
      <c r="J44" s="202"/>
      <c r="K44" s="165"/>
      <c r="L44" s="165"/>
      <c r="M44" s="165"/>
    </row>
    <row r="45" ht="23.25" customHeight="1">
      <c r="A45" s="45">
        <v>701.0</v>
      </c>
      <c r="B45" s="27" t="s">
        <v>238</v>
      </c>
      <c r="C45" s="28" t="s">
        <v>239</v>
      </c>
      <c r="D45" s="27" t="s">
        <v>236</v>
      </c>
      <c r="E45" s="187">
        <v>244601.0</v>
      </c>
      <c r="F45" s="180">
        <v>244602.0</v>
      </c>
      <c r="G45" s="45">
        <v>1.0</v>
      </c>
      <c r="H45" s="52"/>
      <c r="I45" s="202"/>
      <c r="J45" s="202"/>
      <c r="K45" s="165"/>
      <c r="L45" s="165"/>
      <c r="M45" s="165"/>
    </row>
    <row r="46" ht="23.25" customHeight="1">
      <c r="A46" s="45">
        <v>702.0</v>
      </c>
      <c r="B46" s="27" t="s">
        <v>238</v>
      </c>
      <c r="C46" s="28" t="s">
        <v>239</v>
      </c>
      <c r="D46" s="27" t="s">
        <v>236</v>
      </c>
      <c r="E46" s="187">
        <v>244601.0</v>
      </c>
      <c r="F46" s="180">
        <v>244602.0</v>
      </c>
      <c r="G46" s="45">
        <v>1.0</v>
      </c>
      <c r="H46" s="52"/>
      <c r="I46" s="202"/>
      <c r="J46" s="202"/>
      <c r="K46" s="165"/>
      <c r="L46" s="165"/>
      <c r="M46" s="165"/>
    </row>
    <row r="47" ht="23.25" customHeight="1">
      <c r="A47" s="45">
        <v>703.0</v>
      </c>
      <c r="B47" s="27" t="s">
        <v>238</v>
      </c>
      <c r="C47" s="28" t="s">
        <v>239</v>
      </c>
      <c r="D47" s="27" t="s">
        <v>236</v>
      </c>
      <c r="E47" s="187">
        <v>244601.0</v>
      </c>
      <c r="F47" s="180">
        <v>244602.0</v>
      </c>
      <c r="G47" s="45">
        <v>1.0</v>
      </c>
      <c r="H47" s="52"/>
      <c r="I47" s="202"/>
      <c r="J47" s="202"/>
      <c r="K47" s="165"/>
      <c r="L47" s="165"/>
      <c r="M47" s="165"/>
    </row>
    <row r="48" ht="23.25" customHeight="1">
      <c r="A48" s="210">
        <v>704.0</v>
      </c>
      <c r="B48" s="211" t="s">
        <v>234</v>
      </c>
      <c r="C48" s="212"/>
      <c r="D48" s="212"/>
      <c r="E48" s="213">
        <v>244601.0</v>
      </c>
      <c r="F48" s="209">
        <v>244602.0</v>
      </c>
      <c r="G48" s="210">
        <v>1.0</v>
      </c>
      <c r="H48" s="212"/>
      <c r="I48" s="202"/>
      <c r="J48" s="202"/>
      <c r="K48" s="165"/>
      <c r="L48" s="165"/>
      <c r="M48" s="165"/>
    </row>
    <row r="49" ht="23.25" customHeight="1">
      <c r="A49" s="210">
        <v>705.0</v>
      </c>
      <c r="B49" s="211" t="s">
        <v>234</v>
      </c>
      <c r="C49" s="212"/>
      <c r="D49" s="212"/>
      <c r="E49" s="213">
        <v>244601.0</v>
      </c>
      <c r="F49" s="209">
        <v>244602.0</v>
      </c>
      <c r="G49" s="210">
        <v>1.0</v>
      </c>
      <c r="H49" s="212"/>
      <c r="I49" s="202"/>
      <c r="J49" s="202"/>
      <c r="K49" s="165"/>
      <c r="L49" s="165"/>
      <c r="M49" s="165"/>
    </row>
    <row r="50" ht="23.25" customHeight="1">
      <c r="A50" s="210">
        <v>706.0</v>
      </c>
      <c r="B50" s="211" t="s">
        <v>234</v>
      </c>
      <c r="C50" s="212"/>
      <c r="D50" s="212"/>
      <c r="E50" s="213">
        <v>244601.0</v>
      </c>
      <c r="F50" s="209">
        <v>244602.0</v>
      </c>
      <c r="G50" s="210">
        <v>1.0</v>
      </c>
      <c r="H50" s="212"/>
      <c r="I50" s="202"/>
      <c r="J50" s="202"/>
      <c r="K50" s="165"/>
      <c r="L50" s="165"/>
      <c r="M50" s="165"/>
    </row>
    <row r="51" ht="23.25" customHeight="1">
      <c r="A51" s="210">
        <v>707.0</v>
      </c>
      <c r="B51" s="211" t="s">
        <v>234</v>
      </c>
      <c r="C51" s="212"/>
      <c r="D51" s="212"/>
      <c r="E51" s="213">
        <v>244601.0</v>
      </c>
      <c r="F51" s="209">
        <v>244602.0</v>
      </c>
      <c r="G51" s="210">
        <v>1.0</v>
      </c>
      <c r="H51" s="212"/>
      <c r="I51" s="202"/>
      <c r="J51" s="202"/>
      <c r="K51" s="165"/>
      <c r="L51" s="165"/>
      <c r="M51" s="165"/>
    </row>
    <row r="52" ht="23.25" customHeight="1">
      <c r="A52" s="210">
        <v>708.0</v>
      </c>
      <c r="B52" s="211" t="s">
        <v>234</v>
      </c>
      <c r="C52" s="212"/>
      <c r="D52" s="212"/>
      <c r="E52" s="213">
        <v>244601.0</v>
      </c>
      <c r="F52" s="209">
        <v>244602.0</v>
      </c>
      <c r="G52" s="210">
        <v>1.0</v>
      </c>
      <c r="H52" s="212"/>
      <c r="I52" s="202"/>
      <c r="J52" s="202"/>
      <c r="K52" s="165"/>
      <c r="L52" s="165"/>
      <c r="M52" s="165"/>
    </row>
    <row r="53" ht="23.25" customHeight="1">
      <c r="A53" s="210">
        <v>709.0</v>
      </c>
      <c r="B53" s="211" t="s">
        <v>234</v>
      </c>
      <c r="C53" s="212"/>
      <c r="D53" s="212"/>
      <c r="E53" s="213">
        <v>244601.0</v>
      </c>
      <c r="F53" s="209">
        <v>244602.0</v>
      </c>
      <c r="G53" s="210">
        <v>1.0</v>
      </c>
      <c r="H53" s="212"/>
      <c r="I53" s="202"/>
      <c r="J53" s="202"/>
      <c r="K53" s="165"/>
      <c r="L53" s="165"/>
      <c r="M53" s="165"/>
    </row>
    <row r="54" ht="23.25" customHeight="1">
      <c r="A54" s="210">
        <v>710.0</v>
      </c>
      <c r="B54" s="211" t="s">
        <v>234</v>
      </c>
      <c r="C54" s="212"/>
      <c r="D54" s="212"/>
      <c r="E54" s="213">
        <v>244601.0</v>
      </c>
      <c r="F54" s="209">
        <v>244602.0</v>
      </c>
      <c r="G54" s="210">
        <v>1.0</v>
      </c>
      <c r="H54" s="212"/>
      <c r="I54" s="202"/>
      <c r="J54" s="202"/>
      <c r="K54" s="165"/>
      <c r="L54" s="165"/>
      <c r="M54" s="165"/>
    </row>
    <row r="55" ht="23.25" customHeight="1">
      <c r="A55" s="210">
        <v>711.0</v>
      </c>
      <c r="B55" s="211" t="s">
        <v>234</v>
      </c>
      <c r="C55" s="212"/>
      <c r="D55" s="212"/>
      <c r="E55" s="213">
        <v>244601.0</v>
      </c>
      <c r="F55" s="209">
        <v>244602.0</v>
      </c>
      <c r="G55" s="210">
        <v>1.0</v>
      </c>
      <c r="H55" s="212"/>
      <c r="I55" s="202"/>
      <c r="J55" s="202"/>
      <c r="K55" s="165"/>
      <c r="L55" s="165"/>
      <c r="M55" s="165"/>
    </row>
    <row r="56" ht="23.25" customHeight="1">
      <c r="A56" s="210">
        <v>712.0</v>
      </c>
      <c r="B56" s="211" t="s">
        <v>234</v>
      </c>
      <c r="C56" s="212"/>
      <c r="D56" s="212"/>
      <c r="E56" s="213">
        <v>244601.0</v>
      </c>
      <c r="F56" s="209">
        <v>244602.0</v>
      </c>
      <c r="G56" s="210">
        <v>1.0</v>
      </c>
      <c r="H56" s="212"/>
      <c r="I56" s="202"/>
      <c r="J56" s="202"/>
      <c r="K56" s="165"/>
      <c r="L56" s="165"/>
      <c r="M56" s="165"/>
    </row>
    <row r="57" ht="23.25" customHeight="1">
      <c r="A57" s="210">
        <v>713.0</v>
      </c>
      <c r="B57" s="211" t="s">
        <v>234</v>
      </c>
      <c r="C57" s="212"/>
      <c r="D57" s="212"/>
      <c r="E57" s="213">
        <v>244601.0</v>
      </c>
      <c r="F57" s="209">
        <v>244602.0</v>
      </c>
      <c r="G57" s="210">
        <v>1.0</v>
      </c>
      <c r="H57" s="212"/>
      <c r="I57" s="202"/>
      <c r="J57" s="202"/>
      <c r="K57" s="165"/>
      <c r="L57" s="165"/>
      <c r="M57" s="165"/>
    </row>
    <row r="58" ht="23.25" customHeight="1">
      <c r="A58" s="210">
        <v>714.0</v>
      </c>
      <c r="B58" s="211" t="s">
        <v>234</v>
      </c>
      <c r="C58" s="212"/>
      <c r="D58" s="212"/>
      <c r="E58" s="213">
        <v>244601.0</v>
      </c>
      <c r="F58" s="209">
        <v>244602.0</v>
      </c>
      <c r="G58" s="210">
        <v>1.0</v>
      </c>
      <c r="H58" s="212"/>
      <c r="I58" s="202"/>
      <c r="J58" s="202"/>
      <c r="K58" s="165"/>
      <c r="L58" s="165"/>
      <c r="M58" s="165"/>
    </row>
    <row r="59" ht="23.25" customHeight="1">
      <c r="A59" s="210">
        <v>715.0</v>
      </c>
      <c r="B59" s="211" t="s">
        <v>234</v>
      </c>
      <c r="C59" s="212"/>
      <c r="D59" s="212"/>
      <c r="E59" s="213">
        <v>244601.0</v>
      </c>
      <c r="F59" s="209">
        <v>244602.0</v>
      </c>
      <c r="G59" s="210">
        <v>1.0</v>
      </c>
      <c r="H59" s="212"/>
      <c r="I59" s="202"/>
      <c r="J59" s="202"/>
      <c r="K59" s="165"/>
      <c r="L59" s="165"/>
      <c r="M59" s="165"/>
    </row>
    <row r="60" ht="23.25" customHeight="1">
      <c r="A60" s="210">
        <v>716.0</v>
      </c>
      <c r="B60" s="211" t="s">
        <v>234</v>
      </c>
      <c r="C60" s="212"/>
      <c r="D60" s="212"/>
      <c r="E60" s="213">
        <v>244601.0</v>
      </c>
      <c r="F60" s="209">
        <v>244602.0</v>
      </c>
      <c r="G60" s="210">
        <v>1.0</v>
      </c>
      <c r="H60" s="212"/>
      <c r="I60" s="202"/>
      <c r="J60" s="202"/>
      <c r="K60" s="165"/>
      <c r="L60" s="165"/>
      <c r="M60" s="165"/>
    </row>
    <row r="61" ht="23.25" customHeight="1">
      <c r="A61" s="210">
        <v>717.0</v>
      </c>
      <c r="B61" s="211" t="s">
        <v>234</v>
      </c>
      <c r="C61" s="212"/>
      <c r="D61" s="212"/>
      <c r="E61" s="213">
        <v>244601.0</v>
      </c>
      <c r="F61" s="209">
        <v>244602.0</v>
      </c>
      <c r="G61" s="210">
        <v>1.0</v>
      </c>
      <c r="H61" s="212"/>
      <c r="I61" s="202"/>
      <c r="J61" s="202"/>
      <c r="K61" s="165"/>
      <c r="L61" s="165"/>
      <c r="M61" s="165"/>
    </row>
    <row r="62" ht="23.25" customHeight="1">
      <c r="A62" s="45">
        <v>718.0</v>
      </c>
      <c r="B62" s="27" t="s">
        <v>238</v>
      </c>
      <c r="C62" s="28" t="s">
        <v>239</v>
      </c>
      <c r="D62" s="27" t="s">
        <v>236</v>
      </c>
      <c r="E62" s="187">
        <v>244601.0</v>
      </c>
      <c r="F62" s="214">
        <v>244603.0</v>
      </c>
      <c r="G62" s="45">
        <v>2.0</v>
      </c>
      <c r="H62" s="52"/>
      <c r="I62" s="202"/>
      <c r="J62" s="202"/>
      <c r="K62" s="165"/>
      <c r="L62" s="165"/>
      <c r="M62" s="165"/>
    </row>
    <row r="63" ht="23.25" customHeight="1">
      <c r="A63" s="215">
        <v>719.0</v>
      </c>
      <c r="B63" s="216" t="s">
        <v>234</v>
      </c>
      <c r="C63" s="217"/>
      <c r="D63" s="217"/>
      <c r="E63" s="218">
        <v>244601.0</v>
      </c>
      <c r="F63" s="209">
        <v>244602.0</v>
      </c>
      <c r="G63" s="215">
        <v>1.0</v>
      </c>
      <c r="H63" s="217"/>
      <c r="I63" s="202"/>
      <c r="J63" s="202"/>
      <c r="K63" s="165"/>
      <c r="L63" s="165"/>
      <c r="M63" s="165"/>
    </row>
    <row r="64" ht="23.25" customHeight="1">
      <c r="A64" s="215">
        <v>720.0</v>
      </c>
      <c r="B64" s="216" t="s">
        <v>234</v>
      </c>
      <c r="C64" s="217"/>
      <c r="D64" s="217"/>
      <c r="E64" s="218">
        <v>244601.0</v>
      </c>
      <c r="F64" s="209">
        <v>244602.0</v>
      </c>
      <c r="G64" s="215">
        <v>1.0</v>
      </c>
      <c r="H64" s="217"/>
      <c r="I64" s="202"/>
      <c r="J64" s="202"/>
      <c r="K64" s="165"/>
      <c r="L64" s="165"/>
      <c r="M64" s="165"/>
    </row>
    <row r="65" ht="23.25" customHeight="1">
      <c r="A65" s="215">
        <v>801.0</v>
      </c>
      <c r="B65" s="216" t="s">
        <v>234</v>
      </c>
      <c r="C65" s="217"/>
      <c r="D65" s="217"/>
      <c r="E65" s="218">
        <v>244601.0</v>
      </c>
      <c r="F65" s="209">
        <v>244602.0</v>
      </c>
      <c r="G65" s="215">
        <v>1.0</v>
      </c>
      <c r="H65" s="217"/>
      <c r="I65" s="202"/>
      <c r="J65" s="202"/>
      <c r="K65" s="165"/>
      <c r="L65" s="165"/>
      <c r="M65" s="165"/>
    </row>
    <row r="66" ht="23.25" customHeight="1">
      <c r="A66" s="215">
        <v>802.0</v>
      </c>
      <c r="B66" s="216" t="s">
        <v>234</v>
      </c>
      <c r="C66" s="217"/>
      <c r="D66" s="217"/>
      <c r="E66" s="218">
        <v>244601.0</v>
      </c>
      <c r="F66" s="209">
        <v>244602.0</v>
      </c>
      <c r="G66" s="215">
        <v>1.0</v>
      </c>
      <c r="H66" s="217"/>
      <c r="I66" s="202"/>
      <c r="J66" s="202"/>
      <c r="K66" s="165"/>
      <c r="L66" s="165"/>
      <c r="M66" s="165"/>
    </row>
    <row r="67" ht="23.25" customHeight="1">
      <c r="A67" s="215">
        <v>803.0</v>
      </c>
      <c r="B67" s="216" t="s">
        <v>234</v>
      </c>
      <c r="C67" s="217"/>
      <c r="D67" s="217"/>
      <c r="E67" s="218">
        <v>244601.0</v>
      </c>
      <c r="F67" s="209">
        <v>244602.0</v>
      </c>
      <c r="G67" s="215">
        <v>1.0</v>
      </c>
      <c r="H67" s="217"/>
      <c r="I67" s="202"/>
      <c r="J67" s="202"/>
      <c r="K67" s="165"/>
      <c r="L67" s="165"/>
      <c r="M67" s="165"/>
    </row>
    <row r="68" ht="23.25" customHeight="1">
      <c r="A68" s="215">
        <v>804.0</v>
      </c>
      <c r="B68" s="216" t="s">
        <v>234</v>
      </c>
      <c r="C68" s="217"/>
      <c r="D68" s="217"/>
      <c r="E68" s="218">
        <v>244601.0</v>
      </c>
      <c r="F68" s="209">
        <v>244602.0</v>
      </c>
      <c r="G68" s="215">
        <v>1.0</v>
      </c>
      <c r="H68" s="217"/>
      <c r="I68" s="202"/>
      <c r="J68" s="202"/>
      <c r="K68" s="165"/>
      <c r="L68" s="165"/>
      <c r="M68" s="165"/>
    </row>
    <row r="69" ht="23.25" customHeight="1">
      <c r="A69" s="215">
        <v>805.0</v>
      </c>
      <c r="B69" s="216" t="s">
        <v>234</v>
      </c>
      <c r="C69" s="217"/>
      <c r="D69" s="217"/>
      <c r="E69" s="218">
        <v>244601.0</v>
      </c>
      <c r="F69" s="209">
        <v>244602.0</v>
      </c>
      <c r="G69" s="215">
        <v>1.0</v>
      </c>
      <c r="H69" s="217"/>
      <c r="I69" s="202"/>
      <c r="J69" s="202"/>
      <c r="K69" s="165"/>
      <c r="L69" s="165"/>
      <c r="M69" s="165"/>
    </row>
    <row r="70" ht="23.25" customHeight="1">
      <c r="A70" s="215">
        <v>806.0</v>
      </c>
      <c r="B70" s="216" t="s">
        <v>234</v>
      </c>
      <c r="C70" s="217"/>
      <c r="D70" s="217"/>
      <c r="E70" s="218">
        <v>244601.0</v>
      </c>
      <c r="F70" s="209">
        <v>244602.0</v>
      </c>
      <c r="G70" s="215">
        <v>1.0</v>
      </c>
      <c r="H70" s="217"/>
      <c r="I70" s="202"/>
      <c r="J70" s="202"/>
      <c r="K70" s="165"/>
      <c r="L70" s="165"/>
      <c r="M70" s="165"/>
    </row>
    <row r="71" ht="23.25" customHeight="1">
      <c r="A71" s="45">
        <v>807.0</v>
      </c>
      <c r="B71" s="27" t="s">
        <v>238</v>
      </c>
      <c r="C71" s="28" t="s">
        <v>239</v>
      </c>
      <c r="D71" s="27" t="s">
        <v>236</v>
      </c>
      <c r="E71" s="187">
        <v>244601.0</v>
      </c>
      <c r="F71" s="214">
        <v>244602.0</v>
      </c>
      <c r="G71" s="45">
        <v>1.0</v>
      </c>
      <c r="H71" s="52"/>
      <c r="I71" s="202"/>
      <c r="J71" s="202"/>
      <c r="K71" s="165"/>
      <c r="L71" s="165"/>
      <c r="M71" s="165"/>
    </row>
    <row r="72" ht="23.25" customHeight="1">
      <c r="A72" s="45">
        <v>808.0</v>
      </c>
      <c r="B72" s="27" t="s">
        <v>238</v>
      </c>
      <c r="C72" s="28" t="s">
        <v>239</v>
      </c>
      <c r="D72" s="27" t="s">
        <v>236</v>
      </c>
      <c r="E72" s="187">
        <v>244601.0</v>
      </c>
      <c r="F72" s="214">
        <v>244603.0</v>
      </c>
      <c r="G72" s="45">
        <v>2.0</v>
      </c>
      <c r="H72" s="52"/>
      <c r="I72" s="202"/>
      <c r="J72" s="202"/>
      <c r="K72" s="165"/>
      <c r="L72" s="165"/>
      <c r="M72" s="165"/>
    </row>
    <row r="73" ht="23.25" customHeight="1">
      <c r="A73" s="219">
        <v>809.0</v>
      </c>
      <c r="B73" s="220" t="s">
        <v>234</v>
      </c>
      <c r="C73" s="221"/>
      <c r="D73" s="221"/>
      <c r="E73" s="222">
        <v>244601.0</v>
      </c>
      <c r="F73" s="209">
        <v>244602.0</v>
      </c>
      <c r="G73" s="219">
        <v>1.0</v>
      </c>
      <c r="H73" s="221"/>
      <c r="I73" s="202"/>
      <c r="J73" s="202"/>
      <c r="K73" s="165"/>
      <c r="L73" s="165"/>
      <c r="M73" s="165"/>
    </row>
    <row r="74" ht="23.25" customHeight="1">
      <c r="A74" s="219">
        <v>810.0</v>
      </c>
      <c r="B74" s="220" t="s">
        <v>234</v>
      </c>
      <c r="C74" s="221"/>
      <c r="D74" s="221"/>
      <c r="E74" s="222">
        <v>244601.0</v>
      </c>
      <c r="F74" s="209">
        <v>244602.0</v>
      </c>
      <c r="G74" s="219">
        <v>1.0</v>
      </c>
      <c r="H74" s="221"/>
      <c r="I74" s="202"/>
      <c r="J74" s="202"/>
      <c r="K74" s="165"/>
      <c r="L74" s="165"/>
      <c r="M74" s="165"/>
    </row>
    <row r="75" ht="23.25" customHeight="1">
      <c r="A75" s="219">
        <v>811.0</v>
      </c>
      <c r="B75" s="220" t="s">
        <v>234</v>
      </c>
      <c r="C75" s="221"/>
      <c r="D75" s="221"/>
      <c r="E75" s="222">
        <v>244601.0</v>
      </c>
      <c r="F75" s="209">
        <v>244602.0</v>
      </c>
      <c r="G75" s="219">
        <v>1.0</v>
      </c>
      <c r="H75" s="221"/>
      <c r="I75" s="202"/>
      <c r="J75" s="202"/>
      <c r="K75" s="165"/>
      <c r="L75" s="165"/>
      <c r="M75" s="165"/>
    </row>
    <row r="76" ht="23.25" customHeight="1">
      <c r="A76" s="219">
        <v>812.0</v>
      </c>
      <c r="B76" s="220" t="s">
        <v>234</v>
      </c>
      <c r="C76" s="221"/>
      <c r="D76" s="221"/>
      <c r="E76" s="222">
        <v>244601.0</v>
      </c>
      <c r="F76" s="209">
        <v>244602.0</v>
      </c>
      <c r="G76" s="219">
        <v>1.0</v>
      </c>
      <c r="H76" s="221"/>
      <c r="I76" s="202"/>
      <c r="J76" s="202"/>
      <c r="K76" s="165"/>
      <c r="L76" s="165"/>
      <c r="M76" s="165"/>
    </row>
    <row r="77" ht="23.25" customHeight="1">
      <c r="A77" s="219">
        <v>813.0</v>
      </c>
      <c r="B77" s="220" t="s">
        <v>234</v>
      </c>
      <c r="C77" s="221"/>
      <c r="D77" s="221"/>
      <c r="E77" s="222">
        <v>244601.0</v>
      </c>
      <c r="F77" s="209">
        <v>244602.0</v>
      </c>
      <c r="G77" s="219">
        <v>1.0</v>
      </c>
      <c r="H77" s="221"/>
      <c r="I77" s="202"/>
      <c r="J77" s="202"/>
      <c r="K77" s="165"/>
      <c r="L77" s="165"/>
      <c r="M77" s="165"/>
    </row>
    <row r="78" ht="23.25" customHeight="1">
      <c r="A78" s="219">
        <v>814.0</v>
      </c>
      <c r="B78" s="220" t="s">
        <v>234</v>
      </c>
      <c r="C78" s="221"/>
      <c r="D78" s="221"/>
      <c r="E78" s="222">
        <v>244601.0</v>
      </c>
      <c r="F78" s="209">
        <v>244602.0</v>
      </c>
      <c r="G78" s="219">
        <v>1.0</v>
      </c>
      <c r="H78" s="221"/>
      <c r="I78" s="202"/>
      <c r="J78" s="202"/>
      <c r="K78" s="165"/>
      <c r="L78" s="165"/>
      <c r="M78" s="165"/>
    </row>
    <row r="79" ht="23.25" customHeight="1">
      <c r="A79" s="219">
        <v>815.0</v>
      </c>
      <c r="B79" s="220" t="s">
        <v>234</v>
      </c>
      <c r="C79" s="221"/>
      <c r="D79" s="221"/>
      <c r="E79" s="222">
        <v>244601.0</v>
      </c>
      <c r="F79" s="209">
        <v>244602.0</v>
      </c>
      <c r="G79" s="219">
        <v>1.0</v>
      </c>
      <c r="H79" s="221"/>
      <c r="I79" s="202"/>
      <c r="J79" s="202"/>
      <c r="K79" s="165"/>
      <c r="L79" s="165"/>
      <c r="M79" s="165"/>
    </row>
    <row r="80" ht="23.25" customHeight="1">
      <c r="A80" s="45">
        <v>816.0</v>
      </c>
      <c r="B80" s="27" t="s">
        <v>238</v>
      </c>
      <c r="C80" s="28" t="s">
        <v>239</v>
      </c>
      <c r="D80" s="27" t="s">
        <v>236</v>
      </c>
      <c r="E80" s="187">
        <v>244601.0</v>
      </c>
      <c r="F80" s="214">
        <v>244602.0</v>
      </c>
      <c r="G80" s="45">
        <v>1.0</v>
      </c>
      <c r="H80" s="52"/>
      <c r="I80" s="202"/>
      <c r="J80" s="202"/>
      <c r="K80" s="165"/>
      <c r="L80" s="165"/>
      <c r="M80" s="165"/>
    </row>
    <row r="81" ht="23.25" customHeight="1">
      <c r="A81" s="45">
        <v>817.0</v>
      </c>
      <c r="B81" s="27" t="s">
        <v>238</v>
      </c>
      <c r="C81" s="28" t="s">
        <v>239</v>
      </c>
      <c r="D81" s="27" t="s">
        <v>236</v>
      </c>
      <c r="E81" s="187">
        <v>244601.0</v>
      </c>
      <c r="F81" s="214">
        <v>244602.0</v>
      </c>
      <c r="G81" s="45">
        <v>1.0</v>
      </c>
      <c r="H81" s="52"/>
      <c r="I81" s="202"/>
      <c r="J81" s="202"/>
      <c r="K81" s="165"/>
      <c r="L81" s="165"/>
      <c r="M81" s="165"/>
    </row>
    <row r="82" ht="23.25" customHeight="1">
      <c r="A82" s="45">
        <v>818.0</v>
      </c>
      <c r="B82" s="27" t="s">
        <v>238</v>
      </c>
      <c r="C82" s="28" t="s">
        <v>239</v>
      </c>
      <c r="D82" s="27" t="s">
        <v>236</v>
      </c>
      <c r="E82" s="187">
        <v>244601.0</v>
      </c>
      <c r="F82" s="214">
        <v>244602.0</v>
      </c>
      <c r="G82" s="45">
        <v>1.0</v>
      </c>
      <c r="H82" s="52"/>
      <c r="I82" s="202"/>
      <c r="J82" s="202"/>
      <c r="K82" s="165"/>
      <c r="L82" s="165"/>
      <c r="M82" s="165"/>
    </row>
    <row r="83" ht="23.25" customHeight="1">
      <c r="A83" s="223">
        <v>819.0</v>
      </c>
      <c r="B83" s="224" t="s">
        <v>234</v>
      </c>
      <c r="C83" s="225"/>
      <c r="D83" s="225"/>
      <c r="E83" s="226">
        <v>244601.0</v>
      </c>
      <c r="F83" s="209">
        <v>244602.0</v>
      </c>
      <c r="G83" s="223">
        <v>1.0</v>
      </c>
      <c r="H83" s="225"/>
      <c r="I83" s="202"/>
      <c r="J83" s="202"/>
      <c r="K83" s="165"/>
      <c r="L83" s="165"/>
      <c r="M83" s="165"/>
    </row>
    <row r="84" ht="23.25" customHeight="1">
      <c r="A84" s="223">
        <v>820.0</v>
      </c>
      <c r="B84" s="224" t="s">
        <v>234</v>
      </c>
      <c r="C84" s="225"/>
      <c r="D84" s="225"/>
      <c r="E84" s="226">
        <v>244601.0</v>
      </c>
      <c r="F84" s="209">
        <v>244602.0</v>
      </c>
      <c r="G84" s="223">
        <v>1.0</v>
      </c>
      <c r="H84" s="225"/>
      <c r="I84" s="202"/>
      <c r="J84" s="202"/>
      <c r="K84" s="165"/>
      <c r="L84" s="165"/>
      <c r="M84" s="165"/>
    </row>
    <row r="85" ht="23.25" customHeight="1">
      <c r="A85" s="223">
        <v>901.0</v>
      </c>
      <c r="B85" s="224" t="s">
        <v>234</v>
      </c>
      <c r="C85" s="225"/>
      <c r="D85" s="225"/>
      <c r="E85" s="226">
        <v>244601.0</v>
      </c>
      <c r="F85" s="209">
        <v>244602.0</v>
      </c>
      <c r="G85" s="223">
        <v>1.0</v>
      </c>
      <c r="H85" s="225"/>
      <c r="I85" s="202"/>
      <c r="J85" s="202"/>
      <c r="K85" s="165"/>
      <c r="L85" s="165"/>
      <c r="M85" s="165"/>
    </row>
    <row r="86" ht="23.25" customHeight="1">
      <c r="A86" s="223">
        <v>902.0</v>
      </c>
      <c r="B86" s="224" t="s">
        <v>234</v>
      </c>
      <c r="C86" s="225"/>
      <c r="D86" s="225"/>
      <c r="E86" s="226">
        <v>244601.0</v>
      </c>
      <c r="F86" s="209">
        <v>244602.0</v>
      </c>
      <c r="G86" s="223">
        <v>1.0</v>
      </c>
      <c r="H86" s="225"/>
      <c r="I86" s="202"/>
      <c r="J86" s="202"/>
      <c r="K86" s="165"/>
      <c r="L86" s="165"/>
      <c r="M86" s="165"/>
    </row>
    <row r="87" ht="23.25" customHeight="1">
      <c r="A87" s="223">
        <v>903.0</v>
      </c>
      <c r="B87" s="224" t="s">
        <v>234</v>
      </c>
      <c r="C87" s="225"/>
      <c r="D87" s="225"/>
      <c r="E87" s="226">
        <v>244601.0</v>
      </c>
      <c r="F87" s="209">
        <v>244602.0</v>
      </c>
      <c r="G87" s="223">
        <v>1.0</v>
      </c>
      <c r="H87" s="225"/>
      <c r="I87" s="202"/>
      <c r="J87" s="202"/>
      <c r="K87" s="165"/>
      <c r="L87" s="165"/>
      <c r="M87" s="165"/>
    </row>
    <row r="88" ht="23.25" customHeight="1">
      <c r="A88" s="223">
        <v>904.0</v>
      </c>
      <c r="B88" s="224" t="s">
        <v>234</v>
      </c>
      <c r="C88" s="225"/>
      <c r="D88" s="225"/>
      <c r="E88" s="226">
        <v>244601.0</v>
      </c>
      <c r="F88" s="209">
        <v>244602.0</v>
      </c>
      <c r="G88" s="223">
        <v>1.0</v>
      </c>
      <c r="H88" s="225"/>
      <c r="I88" s="202"/>
      <c r="J88" s="202"/>
      <c r="K88" s="165"/>
      <c r="L88" s="165"/>
      <c r="M88" s="165"/>
    </row>
    <row r="89" ht="23.25" customHeight="1">
      <c r="A89" s="223">
        <v>905.0</v>
      </c>
      <c r="B89" s="224" t="s">
        <v>234</v>
      </c>
      <c r="C89" s="225"/>
      <c r="D89" s="225"/>
      <c r="E89" s="226">
        <v>244601.0</v>
      </c>
      <c r="F89" s="209">
        <v>244602.0</v>
      </c>
      <c r="G89" s="223">
        <v>1.0</v>
      </c>
      <c r="H89" s="225"/>
      <c r="I89" s="202"/>
      <c r="J89" s="202"/>
      <c r="K89" s="165"/>
      <c r="L89" s="165"/>
      <c r="M89" s="165"/>
    </row>
    <row r="90" ht="23.25" customHeight="1">
      <c r="A90" s="223">
        <v>906.0</v>
      </c>
      <c r="B90" s="224" t="s">
        <v>234</v>
      </c>
      <c r="C90" s="225"/>
      <c r="D90" s="225"/>
      <c r="E90" s="226">
        <v>244601.0</v>
      </c>
      <c r="F90" s="209">
        <v>244602.0</v>
      </c>
      <c r="G90" s="223">
        <v>1.0</v>
      </c>
      <c r="H90" s="225"/>
      <c r="I90" s="202"/>
      <c r="J90" s="202"/>
      <c r="K90" s="165"/>
      <c r="L90" s="165"/>
      <c r="M90" s="165"/>
    </row>
    <row r="91" ht="23.25" customHeight="1">
      <c r="A91" s="223">
        <v>907.0</v>
      </c>
      <c r="B91" s="224" t="s">
        <v>234</v>
      </c>
      <c r="C91" s="225"/>
      <c r="D91" s="225"/>
      <c r="E91" s="226">
        <v>244601.0</v>
      </c>
      <c r="F91" s="209">
        <v>244602.0</v>
      </c>
      <c r="G91" s="223">
        <v>1.0</v>
      </c>
      <c r="H91" s="225"/>
      <c r="I91" s="202"/>
      <c r="J91" s="202"/>
      <c r="K91" s="165"/>
      <c r="L91" s="165"/>
      <c r="M91" s="165"/>
    </row>
    <row r="92" ht="23.25" customHeight="1">
      <c r="A92" s="223">
        <v>908.0</v>
      </c>
      <c r="B92" s="224" t="s">
        <v>234</v>
      </c>
      <c r="C92" s="225"/>
      <c r="D92" s="225"/>
      <c r="E92" s="226">
        <v>244601.0</v>
      </c>
      <c r="F92" s="209">
        <v>244602.0</v>
      </c>
      <c r="G92" s="223">
        <v>1.0</v>
      </c>
      <c r="H92" s="225"/>
      <c r="I92" s="202"/>
      <c r="J92" s="202"/>
      <c r="K92" s="165"/>
      <c r="L92" s="165"/>
      <c r="M92" s="165"/>
    </row>
    <row r="93" ht="23.25" customHeight="1">
      <c r="A93" s="223">
        <v>909.0</v>
      </c>
      <c r="B93" s="224" t="s">
        <v>234</v>
      </c>
      <c r="C93" s="225"/>
      <c r="D93" s="225"/>
      <c r="E93" s="226">
        <v>244601.0</v>
      </c>
      <c r="F93" s="209">
        <v>244602.0</v>
      </c>
      <c r="G93" s="223">
        <v>1.0</v>
      </c>
      <c r="H93" s="225"/>
      <c r="I93" s="202"/>
      <c r="J93" s="202"/>
      <c r="K93" s="165"/>
      <c r="L93" s="165"/>
      <c r="M93" s="165"/>
    </row>
    <row r="94" ht="23.25" customHeight="1">
      <c r="A94" s="223">
        <v>910.0</v>
      </c>
      <c r="B94" s="224" t="s">
        <v>234</v>
      </c>
      <c r="C94" s="225"/>
      <c r="D94" s="225"/>
      <c r="E94" s="226">
        <v>244601.0</v>
      </c>
      <c r="F94" s="209">
        <v>244602.0</v>
      </c>
      <c r="G94" s="223">
        <v>1.0</v>
      </c>
      <c r="H94" s="225"/>
      <c r="I94" s="202"/>
      <c r="J94" s="202"/>
      <c r="K94" s="165"/>
      <c r="L94" s="165"/>
      <c r="M94" s="165"/>
    </row>
    <row r="95" ht="23.25" customHeight="1">
      <c r="A95" s="223">
        <v>911.0</v>
      </c>
      <c r="B95" s="224" t="s">
        <v>234</v>
      </c>
      <c r="C95" s="225"/>
      <c r="D95" s="225"/>
      <c r="E95" s="226">
        <v>244601.0</v>
      </c>
      <c r="F95" s="209">
        <v>244602.0</v>
      </c>
      <c r="G95" s="223">
        <v>1.0</v>
      </c>
      <c r="H95" s="225"/>
      <c r="I95" s="202"/>
      <c r="J95" s="202"/>
      <c r="K95" s="165"/>
      <c r="L95" s="165"/>
      <c r="M95" s="165"/>
    </row>
    <row r="96" ht="23.25" customHeight="1">
      <c r="A96" s="223">
        <v>912.0</v>
      </c>
      <c r="B96" s="224" t="s">
        <v>234</v>
      </c>
      <c r="C96" s="225"/>
      <c r="D96" s="225"/>
      <c r="E96" s="226">
        <v>244601.0</v>
      </c>
      <c r="F96" s="209">
        <v>244602.0</v>
      </c>
      <c r="G96" s="223">
        <v>1.0</v>
      </c>
      <c r="H96" s="225"/>
      <c r="I96" s="202"/>
      <c r="J96" s="202"/>
      <c r="K96" s="165"/>
      <c r="L96" s="165"/>
      <c r="M96" s="165"/>
    </row>
    <row r="97" ht="23.25" customHeight="1">
      <c r="A97" s="223">
        <v>913.0</v>
      </c>
      <c r="B97" s="224" t="s">
        <v>234</v>
      </c>
      <c r="C97" s="225"/>
      <c r="D97" s="225"/>
      <c r="E97" s="226">
        <v>244601.0</v>
      </c>
      <c r="F97" s="209">
        <v>244602.0</v>
      </c>
      <c r="G97" s="223">
        <v>1.0</v>
      </c>
      <c r="H97" s="225"/>
      <c r="I97" s="202"/>
      <c r="J97" s="202"/>
      <c r="K97" s="165"/>
      <c r="L97" s="165"/>
      <c r="M97" s="165"/>
    </row>
    <row r="98" ht="23.25" customHeight="1">
      <c r="A98" s="223">
        <v>914.0</v>
      </c>
      <c r="B98" s="224" t="s">
        <v>234</v>
      </c>
      <c r="C98" s="225"/>
      <c r="D98" s="225"/>
      <c r="E98" s="226">
        <v>244601.0</v>
      </c>
      <c r="F98" s="209">
        <v>244602.0</v>
      </c>
      <c r="G98" s="223">
        <v>1.0</v>
      </c>
      <c r="H98" s="225"/>
      <c r="I98" s="202"/>
      <c r="J98" s="202"/>
      <c r="K98" s="165"/>
      <c r="L98" s="165"/>
      <c r="M98" s="165"/>
    </row>
    <row r="99" ht="23.25" customHeight="1">
      <c r="A99" s="223">
        <v>915.0</v>
      </c>
      <c r="B99" s="224" t="s">
        <v>234</v>
      </c>
      <c r="C99" s="225"/>
      <c r="D99" s="225"/>
      <c r="E99" s="226">
        <v>244601.0</v>
      </c>
      <c r="F99" s="209">
        <v>244602.0</v>
      </c>
      <c r="G99" s="223">
        <v>1.0</v>
      </c>
      <c r="H99" s="225"/>
      <c r="I99" s="202"/>
      <c r="J99" s="202"/>
      <c r="K99" s="165"/>
      <c r="L99" s="165"/>
      <c r="M99" s="165"/>
    </row>
    <row r="100" ht="23.25" customHeight="1">
      <c r="A100" s="223">
        <v>916.0</v>
      </c>
      <c r="B100" s="224" t="s">
        <v>234</v>
      </c>
      <c r="C100" s="225"/>
      <c r="D100" s="225"/>
      <c r="E100" s="226">
        <v>244601.0</v>
      </c>
      <c r="F100" s="209">
        <v>244602.0</v>
      </c>
      <c r="G100" s="223">
        <v>1.0</v>
      </c>
      <c r="H100" s="225"/>
      <c r="I100" s="202"/>
      <c r="J100" s="202"/>
      <c r="K100" s="165"/>
      <c r="L100" s="165"/>
      <c r="M100" s="165"/>
    </row>
    <row r="101" ht="23.25" customHeight="1">
      <c r="A101" s="223">
        <v>917.0</v>
      </c>
      <c r="B101" s="224" t="s">
        <v>234</v>
      </c>
      <c r="C101" s="225"/>
      <c r="D101" s="225"/>
      <c r="E101" s="226">
        <v>244601.0</v>
      </c>
      <c r="F101" s="209">
        <v>244602.0</v>
      </c>
      <c r="G101" s="223">
        <v>1.0</v>
      </c>
      <c r="H101" s="225"/>
      <c r="I101" s="202"/>
      <c r="J101" s="202"/>
      <c r="K101" s="165"/>
      <c r="L101" s="165"/>
      <c r="M101" s="165"/>
    </row>
    <row r="102" ht="23.25" customHeight="1">
      <c r="A102" s="45">
        <v>918.0</v>
      </c>
      <c r="B102" s="27" t="s">
        <v>238</v>
      </c>
      <c r="C102" s="28" t="s">
        <v>239</v>
      </c>
      <c r="D102" s="27" t="s">
        <v>236</v>
      </c>
      <c r="E102" s="187">
        <v>244601.0</v>
      </c>
      <c r="F102" s="214">
        <v>244602.0</v>
      </c>
      <c r="G102" s="45">
        <v>1.0</v>
      </c>
      <c r="H102" s="52"/>
      <c r="I102" s="202"/>
      <c r="J102" s="202"/>
      <c r="K102" s="165"/>
      <c r="L102" s="165"/>
      <c r="M102" s="165"/>
    </row>
    <row r="103" ht="23.25" customHeight="1">
      <c r="A103" s="227">
        <v>919.0</v>
      </c>
      <c r="B103" s="189" t="s">
        <v>234</v>
      </c>
      <c r="C103" s="228"/>
      <c r="D103" s="228"/>
      <c r="E103" s="190">
        <v>244601.0</v>
      </c>
      <c r="F103" s="209">
        <v>244602.0</v>
      </c>
      <c r="G103" s="227">
        <v>1.0</v>
      </c>
      <c r="H103" s="228"/>
      <c r="I103" s="202"/>
      <c r="J103" s="202"/>
      <c r="K103" s="165"/>
      <c r="L103" s="165"/>
      <c r="M103" s="165"/>
    </row>
    <row r="104" ht="23.25" customHeight="1">
      <c r="A104" s="227">
        <v>920.0</v>
      </c>
      <c r="B104" s="189" t="s">
        <v>234</v>
      </c>
      <c r="C104" s="228"/>
      <c r="D104" s="228"/>
      <c r="E104" s="190">
        <v>244601.0</v>
      </c>
      <c r="F104" s="209">
        <v>244602.0</v>
      </c>
      <c r="G104" s="227">
        <v>1.0</v>
      </c>
      <c r="H104" s="228"/>
      <c r="I104" s="202"/>
      <c r="J104" s="202"/>
      <c r="K104" s="165"/>
      <c r="L104" s="165"/>
      <c r="M104" s="165"/>
    </row>
    <row r="105" ht="23.25" customHeight="1">
      <c r="I105" s="165"/>
      <c r="J105" s="165"/>
      <c r="K105" s="165"/>
      <c r="L105" s="165"/>
      <c r="M105" s="165"/>
    </row>
    <row r="106" ht="23.25" customHeight="1">
      <c r="I106" s="165"/>
      <c r="J106" s="165"/>
      <c r="K106" s="165"/>
      <c r="L106" s="165"/>
      <c r="M106" s="165"/>
    </row>
    <row r="107" ht="23.25" customHeight="1">
      <c r="I107" s="165"/>
      <c r="J107" s="165"/>
      <c r="K107" s="165"/>
      <c r="L107" s="165"/>
      <c r="M107" s="165"/>
    </row>
    <row r="108" ht="23.25" customHeight="1">
      <c r="I108" s="165"/>
      <c r="J108" s="165"/>
      <c r="K108" s="165"/>
      <c r="L108" s="165"/>
      <c r="M108" s="165"/>
    </row>
    <row r="109" ht="23.25" customHeight="1">
      <c r="I109" s="165"/>
      <c r="J109" s="165"/>
      <c r="K109" s="165"/>
      <c r="L109" s="165"/>
      <c r="M109" s="165"/>
    </row>
    <row r="110" ht="23.25" customHeight="1">
      <c r="I110" s="165"/>
      <c r="J110" s="165"/>
      <c r="K110" s="165"/>
      <c r="L110" s="165"/>
      <c r="M110" s="165"/>
    </row>
    <row r="111" ht="23.25" customHeight="1">
      <c r="I111" s="165"/>
      <c r="J111" s="165"/>
      <c r="K111" s="165"/>
      <c r="L111" s="165"/>
      <c r="M111" s="165"/>
    </row>
    <row r="112" ht="23.25" customHeight="1">
      <c r="I112" s="165"/>
      <c r="J112" s="165"/>
      <c r="K112" s="165"/>
      <c r="L112" s="165"/>
      <c r="M112" s="165"/>
    </row>
    <row r="113" ht="23.25" customHeight="1">
      <c r="I113" s="165"/>
      <c r="J113" s="165"/>
      <c r="K113" s="165"/>
      <c r="L113" s="165"/>
      <c r="M113" s="165"/>
    </row>
    <row r="114" ht="23.25" customHeight="1">
      <c r="I114" s="165"/>
      <c r="J114" s="165"/>
      <c r="K114" s="165"/>
      <c r="L114" s="165"/>
      <c r="M114" s="165"/>
    </row>
    <row r="115" ht="23.25" customHeight="1">
      <c r="I115" s="165"/>
      <c r="J115" s="165"/>
      <c r="K115" s="165"/>
      <c r="L115" s="165"/>
      <c r="M115" s="165"/>
    </row>
    <row r="116" ht="23.25" customHeight="1">
      <c r="I116" s="165"/>
      <c r="J116" s="165"/>
      <c r="K116" s="165"/>
      <c r="L116" s="165"/>
      <c r="M116" s="165"/>
    </row>
    <row r="117" ht="23.25" customHeight="1">
      <c r="I117" s="165"/>
      <c r="J117" s="165"/>
      <c r="K117" s="165"/>
      <c r="L117" s="165"/>
      <c r="M117" s="165"/>
    </row>
    <row r="118" ht="23.25" customHeight="1">
      <c r="I118" s="165"/>
      <c r="J118" s="165"/>
      <c r="K118" s="165"/>
      <c r="L118" s="165"/>
      <c r="M118" s="165"/>
    </row>
    <row r="119" ht="23.25" customHeight="1">
      <c r="I119" s="165"/>
      <c r="J119" s="165"/>
      <c r="K119" s="165"/>
      <c r="L119" s="165"/>
      <c r="M119" s="165"/>
    </row>
    <row r="120" ht="23.25" customHeight="1">
      <c r="I120" s="165"/>
      <c r="J120" s="165"/>
      <c r="K120" s="165"/>
      <c r="L120" s="165"/>
      <c r="M120" s="165"/>
    </row>
    <row r="121" ht="23.25" customHeight="1">
      <c r="I121" s="165"/>
      <c r="J121" s="165"/>
      <c r="K121" s="165"/>
      <c r="L121" s="165"/>
      <c r="M121" s="165"/>
    </row>
    <row r="122" ht="23.25" customHeight="1">
      <c r="I122" s="165"/>
      <c r="J122" s="165"/>
      <c r="K122" s="165"/>
      <c r="L122" s="165"/>
      <c r="M122" s="165"/>
    </row>
    <row r="123" ht="23.25" customHeight="1">
      <c r="I123" s="165"/>
      <c r="J123" s="165"/>
      <c r="K123" s="165"/>
      <c r="L123" s="165"/>
      <c r="M123" s="165"/>
    </row>
    <row r="124">
      <c r="I124" s="165"/>
      <c r="J124" s="165"/>
      <c r="K124" s="165"/>
      <c r="L124" s="165"/>
      <c r="M124" s="165"/>
    </row>
    <row r="125">
      <c r="I125" s="165"/>
      <c r="J125" s="165"/>
      <c r="K125" s="165"/>
      <c r="L125" s="165"/>
      <c r="M125" s="165"/>
    </row>
    <row r="126">
      <c r="I126" s="165"/>
      <c r="J126" s="165"/>
      <c r="K126" s="165"/>
      <c r="L126" s="165"/>
      <c r="M126" s="165"/>
    </row>
    <row r="127">
      <c r="I127" s="165"/>
      <c r="J127" s="165"/>
      <c r="K127" s="165"/>
      <c r="L127" s="165"/>
      <c r="M127" s="165"/>
    </row>
    <row r="128">
      <c r="I128" s="165"/>
      <c r="J128" s="165"/>
      <c r="K128" s="165"/>
      <c r="L128" s="165"/>
      <c r="M128" s="165"/>
    </row>
    <row r="129">
      <c r="I129" s="165"/>
      <c r="J129" s="165"/>
      <c r="K129" s="165"/>
      <c r="L129" s="165"/>
      <c r="M129" s="165"/>
    </row>
    <row r="130">
      <c r="I130" s="165"/>
      <c r="J130" s="165"/>
      <c r="K130" s="165"/>
      <c r="L130" s="165"/>
      <c r="M130" s="165"/>
    </row>
    <row r="131">
      <c r="I131" s="165"/>
      <c r="J131" s="165"/>
      <c r="K131" s="165"/>
      <c r="L131" s="165"/>
      <c r="M131" s="165"/>
    </row>
    <row r="132">
      <c r="I132" s="165"/>
      <c r="J132" s="165"/>
      <c r="K132" s="165"/>
      <c r="L132" s="165"/>
      <c r="M132" s="165"/>
    </row>
    <row r="133">
      <c r="I133" s="165"/>
      <c r="J133" s="165"/>
      <c r="K133" s="165"/>
      <c r="L133" s="165"/>
      <c r="M133" s="165"/>
    </row>
    <row r="134">
      <c r="I134" s="165"/>
      <c r="J134" s="165"/>
      <c r="K134" s="165"/>
      <c r="L134" s="165"/>
      <c r="M134" s="165"/>
    </row>
    <row r="135">
      <c r="I135" s="165"/>
      <c r="J135" s="165"/>
      <c r="K135" s="165"/>
      <c r="L135" s="165"/>
      <c r="M135" s="165"/>
    </row>
    <row r="136">
      <c r="I136" s="165"/>
      <c r="J136" s="165"/>
      <c r="K136" s="165"/>
      <c r="L136" s="165"/>
      <c r="M136" s="165"/>
    </row>
    <row r="137">
      <c r="I137" s="165"/>
      <c r="J137" s="165"/>
      <c r="K137" s="165"/>
      <c r="L137" s="165"/>
      <c r="M137" s="165"/>
    </row>
    <row r="138">
      <c r="I138" s="165"/>
      <c r="J138" s="165"/>
      <c r="K138" s="165"/>
      <c r="L138" s="165"/>
      <c r="M138" s="165"/>
    </row>
    <row r="139">
      <c r="I139" s="165"/>
      <c r="J139" s="165"/>
      <c r="K139" s="165"/>
      <c r="L139" s="165"/>
      <c r="M139" s="165"/>
    </row>
    <row r="140">
      <c r="I140" s="165"/>
      <c r="J140" s="165"/>
      <c r="K140" s="165"/>
      <c r="L140" s="165"/>
      <c r="M140" s="165"/>
    </row>
    <row r="141">
      <c r="I141" s="165"/>
      <c r="J141" s="165"/>
      <c r="K141" s="165"/>
      <c r="L141" s="165"/>
      <c r="M141" s="165"/>
    </row>
    <row r="142">
      <c r="I142" s="165"/>
      <c r="J142" s="165"/>
      <c r="K142" s="165"/>
      <c r="L142" s="165"/>
      <c r="M142" s="165"/>
    </row>
    <row r="143">
      <c r="I143" s="165"/>
      <c r="J143" s="165"/>
      <c r="K143" s="165"/>
      <c r="L143" s="165"/>
      <c r="M143" s="165"/>
    </row>
    <row r="144">
      <c r="I144" s="165"/>
      <c r="J144" s="165"/>
      <c r="K144" s="165"/>
      <c r="L144" s="165"/>
      <c r="M144" s="165"/>
    </row>
    <row r="145">
      <c r="I145" s="165"/>
      <c r="J145" s="165"/>
      <c r="K145" s="165"/>
      <c r="L145" s="165"/>
      <c r="M145" s="165"/>
    </row>
    <row r="146">
      <c r="I146" s="165"/>
      <c r="J146" s="165"/>
      <c r="K146" s="165"/>
      <c r="L146" s="165"/>
      <c r="M146" s="165"/>
    </row>
    <row r="147">
      <c r="I147" s="165"/>
      <c r="J147" s="165"/>
      <c r="K147" s="165"/>
      <c r="L147" s="165"/>
      <c r="M147" s="165"/>
    </row>
    <row r="148">
      <c r="I148" s="165"/>
      <c r="J148" s="165"/>
      <c r="K148" s="165"/>
      <c r="L148" s="165"/>
      <c r="M148" s="165"/>
    </row>
    <row r="149">
      <c r="I149" s="165"/>
      <c r="J149" s="165"/>
      <c r="K149" s="165"/>
      <c r="L149" s="165"/>
      <c r="M149" s="165"/>
    </row>
    <row r="150">
      <c r="I150" s="165"/>
      <c r="J150" s="165"/>
      <c r="K150" s="165"/>
      <c r="L150" s="165"/>
      <c r="M150" s="165"/>
    </row>
    <row r="151">
      <c r="I151" s="165"/>
      <c r="J151" s="165"/>
      <c r="K151" s="165"/>
      <c r="L151" s="165"/>
      <c r="M151" s="165"/>
    </row>
    <row r="152">
      <c r="I152" s="165"/>
      <c r="J152" s="165"/>
      <c r="K152" s="165"/>
      <c r="L152" s="165"/>
      <c r="M152" s="165"/>
    </row>
    <row r="153">
      <c r="I153" s="165"/>
      <c r="J153" s="165"/>
      <c r="K153" s="165"/>
      <c r="L153" s="165"/>
      <c r="M153" s="165"/>
    </row>
    <row r="154">
      <c r="I154" s="165"/>
      <c r="J154" s="165"/>
      <c r="K154" s="165"/>
      <c r="L154" s="165"/>
      <c r="M154" s="165"/>
    </row>
    <row r="155">
      <c r="I155" s="165"/>
      <c r="J155" s="165"/>
      <c r="K155" s="165"/>
      <c r="L155" s="165"/>
      <c r="M155" s="165"/>
    </row>
    <row r="156">
      <c r="I156" s="165"/>
      <c r="J156" s="165"/>
      <c r="K156" s="165"/>
      <c r="L156" s="165"/>
      <c r="M156" s="165"/>
    </row>
    <row r="157">
      <c r="I157" s="165"/>
      <c r="J157" s="165"/>
      <c r="K157" s="165"/>
      <c r="L157" s="165"/>
      <c r="M157" s="165"/>
    </row>
    <row r="158">
      <c r="I158" s="165"/>
      <c r="J158" s="165"/>
      <c r="K158" s="165"/>
      <c r="L158" s="165"/>
      <c r="M158" s="165"/>
    </row>
    <row r="159">
      <c r="I159" s="165"/>
      <c r="J159" s="165"/>
      <c r="K159" s="165"/>
      <c r="L159" s="165"/>
      <c r="M159" s="165"/>
    </row>
    <row r="160">
      <c r="I160" s="165"/>
      <c r="J160" s="165"/>
      <c r="K160" s="165"/>
      <c r="L160" s="165"/>
      <c r="M160" s="165"/>
    </row>
    <row r="161">
      <c r="I161" s="165"/>
      <c r="J161" s="165"/>
      <c r="K161" s="165"/>
      <c r="L161" s="165"/>
      <c r="M161" s="165"/>
    </row>
    <row r="162">
      <c r="I162" s="165"/>
      <c r="J162" s="165"/>
      <c r="K162" s="165"/>
      <c r="L162" s="165"/>
      <c r="M162" s="165"/>
    </row>
    <row r="163">
      <c r="I163" s="165"/>
      <c r="J163" s="165"/>
      <c r="K163" s="165"/>
      <c r="L163" s="165"/>
      <c r="M163" s="165"/>
    </row>
    <row r="164">
      <c r="I164" s="165"/>
      <c r="J164" s="165"/>
      <c r="K164" s="165"/>
      <c r="L164" s="165"/>
      <c r="M164" s="165"/>
    </row>
    <row r="165">
      <c r="I165" s="165"/>
      <c r="J165" s="165"/>
      <c r="K165" s="165"/>
      <c r="L165" s="165"/>
      <c r="M165" s="165"/>
    </row>
    <row r="166">
      <c r="I166" s="165"/>
      <c r="J166" s="165"/>
      <c r="K166" s="165"/>
      <c r="L166" s="165"/>
      <c r="M166" s="165"/>
    </row>
    <row r="167">
      <c r="I167" s="165"/>
      <c r="J167" s="165"/>
      <c r="K167" s="165"/>
      <c r="L167" s="165"/>
      <c r="M167" s="165"/>
    </row>
    <row r="168">
      <c r="I168" s="165"/>
      <c r="J168" s="165"/>
      <c r="K168" s="165"/>
      <c r="L168" s="165"/>
      <c r="M168" s="165"/>
    </row>
    <row r="169">
      <c r="I169" s="165"/>
      <c r="J169" s="165"/>
      <c r="K169" s="165"/>
      <c r="L169" s="165"/>
      <c r="M169" s="165"/>
    </row>
    <row r="170">
      <c r="I170" s="165"/>
      <c r="J170" s="165"/>
      <c r="K170" s="165"/>
      <c r="L170" s="165"/>
      <c r="M170" s="165"/>
    </row>
    <row r="171">
      <c r="I171" s="165"/>
      <c r="J171" s="165"/>
      <c r="K171" s="165"/>
      <c r="L171" s="165"/>
      <c r="M171" s="165"/>
    </row>
    <row r="172">
      <c r="I172" s="165"/>
      <c r="J172" s="165"/>
      <c r="K172" s="165"/>
      <c r="L172" s="165"/>
      <c r="M172" s="165"/>
    </row>
    <row r="173">
      <c r="I173" s="165"/>
      <c r="J173" s="165"/>
      <c r="K173" s="165"/>
      <c r="L173" s="165"/>
      <c r="M173" s="165"/>
    </row>
    <row r="174">
      <c r="I174" s="165"/>
      <c r="J174" s="165"/>
      <c r="K174" s="165"/>
      <c r="L174" s="165"/>
      <c r="M174" s="165"/>
    </row>
    <row r="175">
      <c r="I175" s="165"/>
      <c r="J175" s="165"/>
      <c r="K175" s="165"/>
      <c r="L175" s="165"/>
      <c r="M175" s="165"/>
    </row>
    <row r="176">
      <c r="I176" s="165"/>
      <c r="J176" s="165"/>
      <c r="K176" s="165"/>
      <c r="L176" s="165"/>
      <c r="M176" s="165"/>
    </row>
    <row r="177">
      <c r="I177" s="165"/>
      <c r="J177" s="165"/>
      <c r="K177" s="165"/>
      <c r="L177" s="165"/>
      <c r="M177" s="165"/>
    </row>
    <row r="178">
      <c r="I178" s="165"/>
      <c r="J178" s="165"/>
      <c r="K178" s="165"/>
      <c r="L178" s="165"/>
      <c r="M178" s="165"/>
    </row>
    <row r="179">
      <c r="I179" s="165"/>
      <c r="J179" s="165"/>
      <c r="K179" s="165"/>
      <c r="L179" s="165"/>
      <c r="M179" s="165"/>
    </row>
    <row r="180">
      <c r="I180" s="165"/>
      <c r="J180" s="165"/>
      <c r="K180" s="165"/>
      <c r="L180" s="165"/>
      <c r="M180" s="165"/>
    </row>
    <row r="181">
      <c r="I181" s="165"/>
      <c r="J181" s="165"/>
      <c r="K181" s="165"/>
      <c r="L181" s="165"/>
      <c r="M181" s="165"/>
    </row>
    <row r="182">
      <c r="I182" s="165"/>
      <c r="J182" s="165"/>
      <c r="K182" s="165"/>
      <c r="L182" s="165"/>
      <c r="M182" s="165"/>
    </row>
    <row r="183">
      <c r="I183" s="165"/>
      <c r="J183" s="165"/>
      <c r="K183" s="165"/>
      <c r="L183" s="165"/>
      <c r="M183" s="165"/>
    </row>
    <row r="184">
      <c r="I184" s="165"/>
      <c r="J184" s="165"/>
      <c r="K184" s="165"/>
      <c r="L184" s="165"/>
      <c r="M184" s="165"/>
    </row>
    <row r="185">
      <c r="I185" s="165"/>
      <c r="J185" s="165"/>
      <c r="K185" s="165"/>
      <c r="L185" s="165"/>
      <c r="M185" s="165"/>
    </row>
    <row r="186">
      <c r="I186" s="165"/>
      <c r="J186" s="165"/>
      <c r="K186" s="165"/>
      <c r="L186" s="165"/>
      <c r="M186" s="165"/>
    </row>
    <row r="187">
      <c r="I187" s="165"/>
      <c r="J187" s="165"/>
      <c r="K187" s="165"/>
      <c r="L187" s="165"/>
      <c r="M187" s="165"/>
    </row>
    <row r="188">
      <c r="I188" s="165"/>
      <c r="J188" s="165"/>
      <c r="K188" s="165"/>
      <c r="L188" s="165"/>
      <c r="M188" s="165"/>
    </row>
    <row r="189">
      <c r="I189" s="165"/>
      <c r="J189" s="165"/>
      <c r="K189" s="165"/>
      <c r="L189" s="165"/>
      <c r="M189" s="165"/>
    </row>
    <row r="190">
      <c r="I190" s="165"/>
      <c r="J190" s="165"/>
      <c r="K190" s="165"/>
      <c r="L190" s="165"/>
      <c r="M190" s="165"/>
    </row>
    <row r="191">
      <c r="I191" s="165"/>
      <c r="J191" s="165"/>
      <c r="K191" s="165"/>
      <c r="L191" s="165"/>
      <c r="M191" s="165"/>
    </row>
    <row r="192">
      <c r="I192" s="165"/>
      <c r="J192" s="165"/>
      <c r="K192" s="165"/>
      <c r="L192" s="165"/>
      <c r="M192" s="165"/>
    </row>
    <row r="193">
      <c r="I193" s="165"/>
      <c r="J193" s="165"/>
      <c r="K193" s="165"/>
      <c r="L193" s="165"/>
      <c r="M193" s="165"/>
    </row>
    <row r="194">
      <c r="I194" s="165"/>
      <c r="J194" s="165"/>
      <c r="K194" s="165"/>
      <c r="L194" s="165"/>
      <c r="M194" s="165"/>
    </row>
    <row r="195">
      <c r="I195" s="165"/>
      <c r="J195" s="165"/>
      <c r="K195" s="165"/>
      <c r="L195" s="165"/>
      <c r="M195" s="165"/>
    </row>
    <row r="196">
      <c r="I196" s="165"/>
      <c r="J196" s="165"/>
      <c r="K196" s="165"/>
      <c r="L196" s="165"/>
      <c r="M196" s="165"/>
    </row>
    <row r="197">
      <c r="I197" s="165"/>
      <c r="J197" s="165"/>
      <c r="K197" s="165"/>
      <c r="L197" s="165"/>
      <c r="M197" s="165"/>
    </row>
    <row r="198">
      <c r="I198" s="165"/>
      <c r="J198" s="165"/>
      <c r="K198" s="165"/>
      <c r="L198" s="165"/>
      <c r="M198" s="165"/>
    </row>
    <row r="199">
      <c r="I199" s="165"/>
      <c r="J199" s="165"/>
      <c r="K199" s="165"/>
      <c r="L199" s="165"/>
      <c r="M199" s="165"/>
    </row>
    <row r="200">
      <c r="I200" s="165"/>
      <c r="J200" s="165"/>
      <c r="K200" s="165"/>
      <c r="L200" s="165"/>
      <c r="M200" s="165"/>
    </row>
    <row r="201">
      <c r="I201" s="165"/>
      <c r="J201" s="165"/>
      <c r="K201" s="165"/>
      <c r="L201" s="165"/>
      <c r="M201" s="165"/>
    </row>
    <row r="202">
      <c r="I202" s="165"/>
      <c r="J202" s="165"/>
      <c r="K202" s="165"/>
      <c r="L202" s="165"/>
      <c r="M202" s="165"/>
    </row>
    <row r="203">
      <c r="I203" s="165"/>
      <c r="J203" s="165"/>
      <c r="K203" s="165"/>
      <c r="L203" s="165"/>
      <c r="M203" s="165"/>
    </row>
    <row r="204">
      <c r="I204" s="165"/>
      <c r="J204" s="165"/>
      <c r="K204" s="165"/>
      <c r="L204" s="165"/>
      <c r="M204" s="165"/>
    </row>
    <row r="205">
      <c r="I205" s="165"/>
      <c r="J205" s="165"/>
      <c r="K205" s="165"/>
      <c r="L205" s="165"/>
      <c r="M205" s="165"/>
    </row>
    <row r="206">
      <c r="I206" s="165"/>
      <c r="J206" s="165"/>
      <c r="K206" s="165"/>
      <c r="L206" s="165"/>
      <c r="M206" s="165"/>
    </row>
    <row r="207">
      <c r="I207" s="165"/>
      <c r="J207" s="165"/>
      <c r="K207" s="165"/>
      <c r="L207" s="165"/>
      <c r="M207" s="165"/>
    </row>
    <row r="208">
      <c r="I208" s="165"/>
      <c r="J208" s="165"/>
      <c r="K208" s="165"/>
      <c r="L208" s="165"/>
      <c r="M208" s="165"/>
    </row>
    <row r="209">
      <c r="I209" s="165"/>
      <c r="J209" s="165"/>
      <c r="K209" s="165"/>
      <c r="L209" s="165"/>
      <c r="M209" s="165"/>
    </row>
    <row r="210">
      <c r="I210" s="165"/>
      <c r="J210" s="165"/>
      <c r="K210" s="165"/>
      <c r="L210" s="165"/>
      <c r="M210" s="165"/>
    </row>
    <row r="211">
      <c r="I211" s="165"/>
      <c r="J211" s="165"/>
      <c r="K211" s="165"/>
      <c r="L211" s="165"/>
      <c r="M211" s="165"/>
    </row>
    <row r="212">
      <c r="I212" s="165"/>
      <c r="J212" s="165"/>
      <c r="K212" s="165"/>
      <c r="L212" s="165"/>
      <c r="M212" s="165"/>
    </row>
    <row r="213">
      <c r="I213" s="165"/>
      <c r="J213" s="165"/>
      <c r="K213" s="165"/>
      <c r="L213" s="165"/>
      <c r="M213" s="165"/>
    </row>
    <row r="214">
      <c r="I214" s="165"/>
      <c r="J214" s="165"/>
      <c r="K214" s="165"/>
      <c r="L214" s="165"/>
      <c r="M214" s="165"/>
    </row>
    <row r="215">
      <c r="I215" s="165"/>
      <c r="J215" s="165"/>
      <c r="K215" s="165"/>
      <c r="L215" s="165"/>
      <c r="M215" s="165"/>
    </row>
    <row r="216">
      <c r="I216" s="165"/>
      <c r="J216" s="165"/>
      <c r="K216" s="165"/>
      <c r="L216" s="165"/>
      <c r="M216" s="165"/>
    </row>
    <row r="217">
      <c r="I217" s="165"/>
      <c r="J217" s="165"/>
      <c r="K217" s="165"/>
      <c r="L217" s="165"/>
      <c r="M217" s="165"/>
    </row>
    <row r="218">
      <c r="I218" s="165"/>
      <c r="J218" s="165"/>
      <c r="K218" s="165"/>
      <c r="L218" s="165"/>
      <c r="M218" s="165"/>
    </row>
    <row r="219">
      <c r="I219" s="165"/>
      <c r="J219" s="165"/>
      <c r="K219" s="165"/>
      <c r="L219" s="165"/>
      <c r="M219" s="165"/>
    </row>
    <row r="220">
      <c r="I220" s="165"/>
      <c r="J220" s="165"/>
      <c r="K220" s="165"/>
      <c r="L220" s="165"/>
      <c r="M220" s="165"/>
    </row>
    <row r="221">
      <c r="I221" s="165"/>
      <c r="J221" s="165"/>
      <c r="K221" s="165"/>
      <c r="L221" s="165"/>
      <c r="M221" s="165"/>
    </row>
    <row r="222">
      <c r="I222" s="165"/>
      <c r="J222" s="165"/>
      <c r="K222" s="165"/>
      <c r="L222" s="165"/>
      <c r="M222" s="165"/>
    </row>
    <row r="223">
      <c r="I223" s="165"/>
      <c r="J223" s="165"/>
      <c r="K223" s="165"/>
      <c r="L223" s="165"/>
      <c r="M223" s="165"/>
    </row>
    <row r="224">
      <c r="I224" s="165"/>
      <c r="J224" s="165"/>
      <c r="K224" s="165"/>
      <c r="L224" s="165"/>
      <c r="M224" s="165"/>
    </row>
    <row r="225">
      <c r="I225" s="165"/>
      <c r="J225" s="165"/>
      <c r="K225" s="165"/>
      <c r="L225" s="165"/>
      <c r="M225" s="165"/>
    </row>
    <row r="226">
      <c r="I226" s="165"/>
      <c r="J226" s="165"/>
      <c r="K226" s="165"/>
      <c r="L226" s="165"/>
      <c r="M226" s="165"/>
    </row>
    <row r="227">
      <c r="I227" s="165"/>
      <c r="J227" s="165"/>
      <c r="K227" s="165"/>
      <c r="L227" s="165"/>
      <c r="M227" s="165"/>
    </row>
    <row r="228">
      <c r="I228" s="165"/>
      <c r="J228" s="165"/>
      <c r="K228" s="165"/>
      <c r="L228" s="165"/>
      <c r="M228" s="165"/>
    </row>
    <row r="229">
      <c r="I229" s="165"/>
      <c r="J229" s="165"/>
      <c r="K229" s="165"/>
      <c r="L229" s="165"/>
      <c r="M229" s="165"/>
    </row>
    <row r="230">
      <c r="I230" s="165"/>
      <c r="J230" s="165"/>
      <c r="K230" s="165"/>
      <c r="L230" s="165"/>
      <c r="M230" s="165"/>
    </row>
    <row r="231">
      <c r="I231" s="165"/>
      <c r="J231" s="165"/>
      <c r="K231" s="165"/>
      <c r="L231" s="165"/>
      <c r="M231" s="165"/>
    </row>
    <row r="232">
      <c r="I232" s="165"/>
      <c r="J232" s="165"/>
      <c r="K232" s="165"/>
      <c r="L232" s="165"/>
      <c r="M232" s="165"/>
    </row>
    <row r="233">
      <c r="I233" s="165"/>
      <c r="J233" s="165"/>
      <c r="K233" s="165"/>
      <c r="L233" s="165"/>
      <c r="M233" s="165"/>
    </row>
    <row r="234">
      <c r="I234" s="165"/>
      <c r="J234" s="165"/>
      <c r="K234" s="165"/>
      <c r="L234" s="165"/>
      <c r="M234" s="165"/>
    </row>
    <row r="235">
      <c r="I235" s="165"/>
      <c r="J235" s="165"/>
      <c r="K235" s="165"/>
      <c r="L235" s="165"/>
      <c r="M235" s="165"/>
    </row>
    <row r="236">
      <c r="I236" s="165"/>
      <c r="J236" s="165"/>
      <c r="K236" s="165"/>
      <c r="L236" s="165"/>
      <c r="M236" s="165"/>
    </row>
    <row r="237">
      <c r="I237" s="165"/>
      <c r="J237" s="165"/>
      <c r="K237" s="165"/>
      <c r="L237" s="165"/>
      <c r="M237" s="165"/>
    </row>
    <row r="238">
      <c r="I238" s="165"/>
      <c r="J238" s="165"/>
      <c r="K238" s="165"/>
      <c r="L238" s="165"/>
      <c r="M238" s="165"/>
    </row>
    <row r="239">
      <c r="I239" s="165"/>
      <c r="J239" s="165"/>
      <c r="K239" s="165"/>
      <c r="L239" s="165"/>
      <c r="M239" s="165"/>
    </row>
    <row r="240">
      <c r="I240" s="165"/>
      <c r="J240" s="165"/>
      <c r="K240" s="165"/>
      <c r="L240" s="165"/>
      <c r="M240" s="165"/>
    </row>
    <row r="241">
      <c r="I241" s="165"/>
      <c r="J241" s="165"/>
      <c r="K241" s="165"/>
      <c r="L241" s="165"/>
      <c r="M241" s="165"/>
    </row>
    <row r="242">
      <c r="I242" s="165"/>
      <c r="J242" s="165"/>
      <c r="K242" s="165"/>
      <c r="L242" s="165"/>
      <c r="M242" s="165"/>
    </row>
    <row r="243">
      <c r="I243" s="165"/>
      <c r="J243" s="165"/>
      <c r="K243" s="165"/>
      <c r="L243" s="165"/>
      <c r="M243" s="165"/>
    </row>
    <row r="244">
      <c r="I244" s="165"/>
      <c r="J244" s="165"/>
      <c r="K244" s="165"/>
      <c r="L244" s="165"/>
      <c r="M244" s="165"/>
    </row>
    <row r="245">
      <c r="I245" s="165"/>
      <c r="J245" s="165"/>
      <c r="K245" s="165"/>
      <c r="L245" s="165"/>
      <c r="M245" s="165"/>
    </row>
    <row r="246">
      <c r="I246" s="165"/>
      <c r="J246" s="165"/>
      <c r="K246" s="165"/>
      <c r="L246" s="165"/>
      <c r="M246" s="165"/>
    </row>
    <row r="247">
      <c r="I247" s="165"/>
      <c r="J247" s="165"/>
      <c r="K247" s="165"/>
      <c r="L247" s="165"/>
      <c r="M247" s="165"/>
    </row>
    <row r="248">
      <c r="I248" s="165"/>
      <c r="J248" s="165"/>
      <c r="K248" s="165"/>
      <c r="L248" s="165"/>
      <c r="M248" s="165"/>
    </row>
    <row r="249">
      <c r="I249" s="165"/>
      <c r="J249" s="165"/>
      <c r="K249" s="165"/>
      <c r="L249" s="165"/>
      <c r="M249" s="165"/>
    </row>
    <row r="250">
      <c r="I250" s="165"/>
      <c r="J250" s="165"/>
      <c r="K250" s="165"/>
      <c r="L250" s="165"/>
      <c r="M250" s="165"/>
    </row>
    <row r="251">
      <c r="I251" s="165"/>
      <c r="J251" s="165"/>
      <c r="K251" s="165"/>
      <c r="L251" s="165"/>
      <c r="M251" s="165"/>
    </row>
    <row r="252">
      <c r="I252" s="165"/>
      <c r="J252" s="165"/>
      <c r="K252" s="165"/>
      <c r="L252" s="165"/>
      <c r="M252" s="165"/>
    </row>
    <row r="253">
      <c r="I253" s="165"/>
      <c r="J253" s="165"/>
      <c r="K253" s="165"/>
      <c r="L253" s="165"/>
      <c r="M253" s="165"/>
    </row>
    <row r="254">
      <c r="I254" s="165"/>
      <c r="J254" s="165"/>
      <c r="K254" s="165"/>
      <c r="L254" s="165"/>
      <c r="M254" s="165"/>
    </row>
    <row r="255">
      <c r="I255" s="165"/>
      <c r="J255" s="165"/>
      <c r="K255" s="165"/>
      <c r="L255" s="165"/>
      <c r="M255" s="165"/>
    </row>
    <row r="256">
      <c r="I256" s="165"/>
      <c r="J256" s="165"/>
      <c r="K256" s="165"/>
      <c r="L256" s="165"/>
      <c r="M256" s="165"/>
    </row>
    <row r="257">
      <c r="I257" s="165"/>
      <c r="J257" s="165"/>
      <c r="K257" s="165"/>
      <c r="L257" s="165"/>
      <c r="M257" s="165"/>
    </row>
    <row r="258">
      <c r="I258" s="165"/>
      <c r="J258" s="165"/>
      <c r="K258" s="165"/>
      <c r="L258" s="165"/>
      <c r="M258" s="165"/>
    </row>
    <row r="259">
      <c r="I259" s="165"/>
      <c r="J259" s="165"/>
      <c r="K259" s="165"/>
      <c r="L259" s="165"/>
      <c r="M259" s="165"/>
    </row>
    <row r="260">
      <c r="I260" s="165"/>
      <c r="J260" s="165"/>
      <c r="K260" s="165"/>
      <c r="L260" s="165"/>
      <c r="M260" s="165"/>
    </row>
    <row r="261">
      <c r="I261" s="165"/>
      <c r="J261" s="165"/>
      <c r="K261" s="165"/>
      <c r="L261" s="165"/>
      <c r="M261" s="165"/>
    </row>
    <row r="262">
      <c r="I262" s="165"/>
      <c r="J262" s="165"/>
      <c r="K262" s="165"/>
      <c r="L262" s="165"/>
      <c r="M262" s="165"/>
    </row>
    <row r="263">
      <c r="I263" s="165"/>
      <c r="J263" s="165"/>
      <c r="K263" s="165"/>
      <c r="L263" s="165"/>
      <c r="M263" s="165"/>
    </row>
    <row r="264">
      <c r="I264" s="165"/>
      <c r="J264" s="165"/>
      <c r="K264" s="165"/>
      <c r="L264" s="165"/>
      <c r="M264" s="165"/>
    </row>
    <row r="265">
      <c r="I265" s="165"/>
      <c r="J265" s="165"/>
      <c r="K265" s="165"/>
      <c r="L265" s="165"/>
      <c r="M265" s="165"/>
    </row>
    <row r="266">
      <c r="I266" s="165"/>
      <c r="J266" s="165"/>
      <c r="K266" s="165"/>
      <c r="L266" s="165"/>
      <c r="M266" s="165"/>
    </row>
    <row r="267">
      <c r="I267" s="165"/>
      <c r="J267" s="165"/>
      <c r="K267" s="165"/>
      <c r="L267" s="165"/>
      <c r="M267" s="165"/>
    </row>
    <row r="268">
      <c r="I268" s="165"/>
      <c r="J268" s="165"/>
      <c r="K268" s="165"/>
      <c r="L268" s="165"/>
      <c r="M268" s="165"/>
    </row>
    <row r="269">
      <c r="I269" s="165"/>
      <c r="J269" s="165"/>
      <c r="K269" s="165"/>
      <c r="L269" s="165"/>
      <c r="M269" s="165"/>
    </row>
    <row r="270">
      <c r="I270" s="165"/>
      <c r="J270" s="165"/>
      <c r="K270" s="165"/>
      <c r="L270" s="165"/>
      <c r="M270" s="165"/>
    </row>
    <row r="271">
      <c r="I271" s="165"/>
      <c r="J271" s="165"/>
      <c r="K271" s="165"/>
      <c r="L271" s="165"/>
      <c r="M271" s="165"/>
    </row>
    <row r="272">
      <c r="I272" s="165"/>
      <c r="J272" s="165"/>
      <c r="K272" s="165"/>
      <c r="L272" s="165"/>
      <c r="M272" s="165"/>
    </row>
    <row r="273">
      <c r="I273" s="165"/>
      <c r="J273" s="165"/>
      <c r="K273" s="165"/>
      <c r="L273" s="165"/>
      <c r="M273" s="165"/>
    </row>
    <row r="274">
      <c r="I274" s="165"/>
      <c r="J274" s="165"/>
      <c r="K274" s="165"/>
      <c r="L274" s="165"/>
      <c r="M274" s="165"/>
    </row>
    <row r="275">
      <c r="I275" s="165"/>
      <c r="J275" s="165"/>
      <c r="K275" s="165"/>
      <c r="L275" s="165"/>
      <c r="M275" s="165"/>
    </row>
    <row r="276">
      <c r="I276" s="165"/>
      <c r="J276" s="165"/>
      <c r="K276" s="165"/>
      <c r="L276" s="165"/>
      <c r="M276" s="165"/>
    </row>
    <row r="277">
      <c r="I277" s="165"/>
      <c r="J277" s="165"/>
      <c r="K277" s="165"/>
      <c r="L277" s="165"/>
      <c r="M277" s="165"/>
    </row>
    <row r="278">
      <c r="I278" s="165"/>
      <c r="J278" s="165"/>
      <c r="K278" s="165"/>
      <c r="L278" s="165"/>
      <c r="M278" s="165"/>
    </row>
    <row r="279">
      <c r="I279" s="165"/>
      <c r="J279" s="165"/>
      <c r="K279" s="165"/>
      <c r="L279" s="165"/>
      <c r="M279" s="165"/>
    </row>
    <row r="280">
      <c r="I280" s="165"/>
      <c r="J280" s="165"/>
      <c r="K280" s="165"/>
      <c r="L280" s="165"/>
      <c r="M280" s="165"/>
    </row>
    <row r="281">
      <c r="I281" s="165"/>
      <c r="J281" s="165"/>
      <c r="K281" s="165"/>
      <c r="L281" s="165"/>
      <c r="M281" s="165"/>
    </row>
    <row r="282">
      <c r="I282" s="165"/>
      <c r="J282" s="165"/>
      <c r="K282" s="165"/>
      <c r="L282" s="165"/>
      <c r="M282" s="165"/>
    </row>
    <row r="283">
      <c r="I283" s="165"/>
      <c r="J283" s="165"/>
      <c r="K283" s="165"/>
      <c r="L283" s="165"/>
      <c r="M283" s="165"/>
    </row>
    <row r="284">
      <c r="I284" s="165"/>
      <c r="J284" s="165"/>
      <c r="K284" s="165"/>
      <c r="L284" s="165"/>
      <c r="M284" s="165"/>
    </row>
    <row r="285">
      <c r="I285" s="165"/>
      <c r="J285" s="165"/>
      <c r="K285" s="165"/>
      <c r="L285" s="165"/>
      <c r="M285" s="165"/>
    </row>
    <row r="286">
      <c r="I286" s="165"/>
      <c r="J286" s="165"/>
      <c r="K286" s="165"/>
      <c r="L286" s="165"/>
      <c r="M286" s="165"/>
    </row>
    <row r="287">
      <c r="I287" s="165"/>
      <c r="J287" s="165"/>
      <c r="K287" s="165"/>
      <c r="L287" s="165"/>
      <c r="M287" s="165"/>
    </row>
    <row r="288">
      <c r="I288" s="165"/>
      <c r="J288" s="165"/>
      <c r="K288" s="165"/>
      <c r="L288" s="165"/>
      <c r="M288" s="165"/>
    </row>
    <row r="289">
      <c r="I289" s="165"/>
      <c r="J289" s="165"/>
      <c r="K289" s="165"/>
      <c r="L289" s="165"/>
      <c r="M289" s="165"/>
    </row>
    <row r="290">
      <c r="I290" s="165"/>
      <c r="J290" s="165"/>
      <c r="K290" s="165"/>
      <c r="L290" s="165"/>
      <c r="M290" s="165"/>
    </row>
    <row r="291">
      <c r="I291" s="165"/>
      <c r="J291" s="165"/>
      <c r="K291" s="165"/>
      <c r="L291" s="165"/>
      <c r="M291" s="165"/>
    </row>
    <row r="292">
      <c r="I292" s="165"/>
      <c r="J292" s="165"/>
      <c r="K292" s="165"/>
      <c r="L292" s="165"/>
      <c r="M292" s="165"/>
    </row>
    <row r="293">
      <c r="I293" s="165"/>
      <c r="J293" s="165"/>
      <c r="K293" s="165"/>
      <c r="L293" s="165"/>
      <c r="M293" s="165"/>
    </row>
    <row r="294">
      <c r="I294" s="165"/>
      <c r="J294" s="165"/>
      <c r="K294" s="165"/>
      <c r="L294" s="165"/>
      <c r="M294" s="165"/>
    </row>
    <row r="295">
      <c r="I295" s="165"/>
      <c r="J295" s="165"/>
      <c r="K295" s="165"/>
      <c r="L295" s="165"/>
      <c r="M295" s="165"/>
    </row>
    <row r="296">
      <c r="I296" s="165"/>
      <c r="J296" s="165"/>
      <c r="K296" s="165"/>
      <c r="L296" s="165"/>
      <c r="M296" s="165"/>
    </row>
    <row r="297">
      <c r="I297" s="165"/>
      <c r="J297" s="165"/>
      <c r="K297" s="165"/>
      <c r="L297" s="165"/>
      <c r="M297" s="165"/>
    </row>
    <row r="298">
      <c r="I298" s="165"/>
      <c r="J298" s="165"/>
      <c r="K298" s="165"/>
      <c r="L298" s="165"/>
      <c r="M298" s="165"/>
    </row>
    <row r="299">
      <c r="I299" s="165"/>
      <c r="J299" s="165"/>
      <c r="K299" s="165"/>
      <c r="L299" s="165"/>
      <c r="M299" s="165"/>
    </row>
    <row r="300">
      <c r="I300" s="165"/>
      <c r="J300" s="165"/>
      <c r="K300" s="165"/>
      <c r="L300" s="165"/>
      <c r="M300" s="165"/>
    </row>
    <row r="301">
      <c r="I301" s="165"/>
      <c r="J301" s="165"/>
      <c r="K301" s="165"/>
      <c r="L301" s="165"/>
      <c r="M301" s="165"/>
    </row>
    <row r="302">
      <c r="I302" s="165"/>
      <c r="J302" s="165"/>
      <c r="K302" s="165"/>
      <c r="L302" s="165"/>
      <c r="M302" s="165"/>
    </row>
    <row r="303">
      <c r="I303" s="165"/>
      <c r="J303" s="165"/>
      <c r="K303" s="165"/>
      <c r="L303" s="165"/>
      <c r="M303" s="165"/>
    </row>
    <row r="304">
      <c r="I304" s="165"/>
      <c r="J304" s="165"/>
      <c r="K304" s="165"/>
      <c r="L304" s="165"/>
      <c r="M304" s="165"/>
    </row>
    <row r="305">
      <c r="I305" s="165"/>
      <c r="J305" s="165"/>
      <c r="K305" s="165"/>
      <c r="L305" s="165"/>
      <c r="M305" s="165"/>
    </row>
    <row r="306">
      <c r="I306" s="165"/>
      <c r="J306" s="165"/>
      <c r="K306" s="165"/>
      <c r="L306" s="165"/>
      <c r="M306" s="165"/>
    </row>
    <row r="307">
      <c r="I307" s="165"/>
      <c r="J307" s="165"/>
      <c r="K307" s="165"/>
      <c r="L307" s="165"/>
      <c r="M307" s="165"/>
    </row>
    <row r="308">
      <c r="I308" s="165"/>
      <c r="J308" s="165"/>
      <c r="K308" s="165"/>
      <c r="L308" s="165"/>
      <c r="M308" s="165"/>
    </row>
    <row r="309">
      <c r="I309" s="165"/>
      <c r="J309" s="165"/>
      <c r="K309" s="165"/>
      <c r="L309" s="165"/>
      <c r="M309" s="165"/>
    </row>
    <row r="310">
      <c r="I310" s="165"/>
      <c r="J310" s="165"/>
      <c r="K310" s="165"/>
      <c r="L310" s="165"/>
      <c r="M310" s="165"/>
    </row>
    <row r="311">
      <c r="I311" s="165"/>
      <c r="J311" s="165"/>
      <c r="K311" s="165"/>
      <c r="L311" s="165"/>
      <c r="M311" s="165"/>
    </row>
    <row r="312">
      <c r="I312" s="165"/>
      <c r="J312" s="165"/>
      <c r="K312" s="165"/>
      <c r="L312" s="165"/>
      <c r="M312" s="165"/>
    </row>
    <row r="313">
      <c r="I313" s="165"/>
      <c r="J313" s="165"/>
      <c r="K313" s="165"/>
      <c r="L313" s="165"/>
      <c r="M313" s="165"/>
    </row>
    <row r="314">
      <c r="I314" s="165"/>
      <c r="J314" s="165"/>
      <c r="K314" s="165"/>
      <c r="L314" s="165"/>
      <c r="M314" s="165"/>
    </row>
    <row r="315">
      <c r="I315" s="165"/>
      <c r="J315" s="165"/>
      <c r="K315" s="165"/>
      <c r="L315" s="165"/>
      <c r="M315" s="165"/>
    </row>
    <row r="316">
      <c r="I316" s="165"/>
      <c r="J316" s="165"/>
      <c r="K316" s="165"/>
      <c r="L316" s="165"/>
      <c r="M316" s="165"/>
    </row>
    <row r="317">
      <c r="I317" s="165"/>
      <c r="J317" s="165"/>
      <c r="K317" s="165"/>
      <c r="L317" s="165"/>
      <c r="M317" s="165"/>
    </row>
    <row r="318">
      <c r="I318" s="165"/>
      <c r="J318" s="165"/>
      <c r="K318" s="165"/>
      <c r="L318" s="165"/>
      <c r="M318" s="165"/>
    </row>
    <row r="319">
      <c r="I319" s="165"/>
      <c r="J319" s="165"/>
      <c r="K319" s="165"/>
      <c r="L319" s="165"/>
      <c r="M319" s="165"/>
    </row>
    <row r="320">
      <c r="I320" s="165"/>
      <c r="J320" s="165"/>
      <c r="K320" s="165"/>
      <c r="L320" s="165"/>
      <c r="M320" s="165"/>
    </row>
    <row r="321">
      <c r="I321" s="165"/>
      <c r="J321" s="165"/>
      <c r="K321" s="165"/>
      <c r="L321" s="165"/>
      <c r="M321" s="165"/>
    </row>
    <row r="322">
      <c r="I322" s="165"/>
      <c r="J322" s="165"/>
      <c r="K322" s="165"/>
      <c r="L322" s="165"/>
      <c r="M322" s="165"/>
    </row>
    <row r="323">
      <c r="I323" s="165"/>
      <c r="J323" s="165"/>
      <c r="K323" s="165"/>
      <c r="L323" s="165"/>
      <c r="M323" s="165"/>
    </row>
    <row r="324">
      <c r="I324" s="165"/>
      <c r="J324" s="165"/>
      <c r="K324" s="165"/>
      <c r="L324" s="165"/>
      <c r="M324" s="165"/>
    </row>
    <row r="325">
      <c r="I325" s="165"/>
      <c r="J325" s="165"/>
      <c r="K325" s="165"/>
      <c r="L325" s="165"/>
      <c r="M325" s="165"/>
    </row>
    <row r="326">
      <c r="I326" s="165"/>
      <c r="J326" s="165"/>
      <c r="K326" s="165"/>
      <c r="L326" s="165"/>
      <c r="M326" s="165"/>
    </row>
    <row r="327">
      <c r="I327" s="165"/>
      <c r="J327" s="165"/>
      <c r="K327" s="165"/>
      <c r="L327" s="165"/>
      <c r="M327" s="165"/>
    </row>
    <row r="328">
      <c r="I328" s="165"/>
      <c r="J328" s="165"/>
      <c r="K328" s="165"/>
      <c r="L328" s="165"/>
      <c r="M328" s="165"/>
    </row>
    <row r="329">
      <c r="I329" s="165"/>
      <c r="J329" s="165"/>
      <c r="K329" s="165"/>
      <c r="L329" s="165"/>
      <c r="M329" s="165"/>
    </row>
    <row r="330">
      <c r="I330" s="165"/>
      <c r="J330" s="165"/>
      <c r="K330" s="165"/>
      <c r="L330" s="165"/>
      <c r="M330" s="165"/>
    </row>
    <row r="331">
      <c r="I331" s="165"/>
      <c r="J331" s="165"/>
      <c r="K331" s="165"/>
      <c r="L331" s="165"/>
      <c r="M331" s="165"/>
    </row>
    <row r="332">
      <c r="I332" s="165"/>
      <c r="J332" s="165"/>
      <c r="K332" s="165"/>
      <c r="L332" s="165"/>
      <c r="M332" s="165"/>
    </row>
    <row r="333">
      <c r="I333" s="165"/>
      <c r="J333" s="165"/>
      <c r="K333" s="165"/>
      <c r="L333" s="165"/>
      <c r="M333" s="165"/>
    </row>
    <row r="334">
      <c r="I334" s="165"/>
      <c r="J334" s="165"/>
      <c r="K334" s="165"/>
      <c r="L334" s="165"/>
      <c r="M334" s="165"/>
    </row>
    <row r="335">
      <c r="I335" s="165"/>
      <c r="J335" s="165"/>
      <c r="K335" s="165"/>
      <c r="L335" s="165"/>
      <c r="M335" s="165"/>
    </row>
    <row r="336">
      <c r="I336" s="165"/>
      <c r="J336" s="165"/>
      <c r="K336" s="165"/>
      <c r="L336" s="165"/>
      <c r="M336" s="165"/>
    </row>
    <row r="337">
      <c r="I337" s="165"/>
      <c r="J337" s="165"/>
      <c r="K337" s="165"/>
      <c r="L337" s="165"/>
      <c r="M337" s="165"/>
    </row>
    <row r="338">
      <c r="I338" s="165"/>
      <c r="J338" s="165"/>
      <c r="K338" s="165"/>
      <c r="L338" s="165"/>
      <c r="M338" s="165"/>
    </row>
    <row r="339">
      <c r="I339" s="165"/>
      <c r="J339" s="165"/>
      <c r="K339" s="165"/>
      <c r="L339" s="165"/>
      <c r="M339" s="165"/>
    </row>
    <row r="340">
      <c r="I340" s="165"/>
      <c r="J340" s="165"/>
      <c r="K340" s="165"/>
      <c r="L340" s="165"/>
      <c r="M340" s="165"/>
    </row>
    <row r="341">
      <c r="I341" s="165"/>
      <c r="J341" s="165"/>
      <c r="K341" s="165"/>
      <c r="L341" s="165"/>
      <c r="M341" s="165"/>
    </row>
    <row r="342">
      <c r="I342" s="165"/>
      <c r="J342" s="165"/>
      <c r="K342" s="165"/>
      <c r="L342" s="165"/>
      <c r="M342" s="165"/>
    </row>
    <row r="343">
      <c r="I343" s="165"/>
      <c r="J343" s="165"/>
      <c r="K343" s="165"/>
      <c r="L343" s="165"/>
      <c r="M343" s="165"/>
    </row>
    <row r="344">
      <c r="I344" s="165"/>
      <c r="J344" s="165"/>
      <c r="K344" s="165"/>
      <c r="L344" s="165"/>
      <c r="M344" s="165"/>
    </row>
    <row r="345">
      <c r="I345" s="165"/>
      <c r="J345" s="165"/>
      <c r="K345" s="165"/>
      <c r="L345" s="165"/>
      <c r="M345" s="165"/>
    </row>
    <row r="346">
      <c r="I346" s="165"/>
      <c r="J346" s="165"/>
      <c r="K346" s="165"/>
      <c r="L346" s="165"/>
      <c r="M346" s="165"/>
    </row>
    <row r="347">
      <c r="I347" s="165"/>
      <c r="J347" s="165"/>
      <c r="K347" s="165"/>
      <c r="L347" s="165"/>
      <c r="M347" s="165"/>
    </row>
    <row r="348">
      <c r="I348" s="165"/>
      <c r="J348" s="165"/>
      <c r="K348" s="165"/>
      <c r="L348" s="165"/>
      <c r="M348" s="165"/>
    </row>
    <row r="349">
      <c r="I349" s="165"/>
      <c r="J349" s="165"/>
      <c r="K349" s="165"/>
      <c r="L349" s="165"/>
      <c r="M349" s="165"/>
    </row>
    <row r="350">
      <c r="I350" s="165"/>
      <c r="J350" s="165"/>
      <c r="K350" s="165"/>
      <c r="L350" s="165"/>
      <c r="M350" s="165"/>
    </row>
    <row r="351">
      <c r="I351" s="165"/>
      <c r="J351" s="165"/>
      <c r="K351" s="165"/>
      <c r="L351" s="165"/>
      <c r="M351" s="165"/>
    </row>
    <row r="352">
      <c r="I352" s="165"/>
      <c r="J352" s="165"/>
      <c r="K352" s="165"/>
      <c r="L352" s="165"/>
      <c r="M352" s="165"/>
    </row>
    <row r="353">
      <c r="I353" s="165"/>
      <c r="J353" s="165"/>
      <c r="K353" s="165"/>
      <c r="L353" s="165"/>
      <c r="M353" s="165"/>
    </row>
    <row r="354">
      <c r="I354" s="165"/>
      <c r="J354" s="165"/>
      <c r="K354" s="165"/>
      <c r="L354" s="165"/>
      <c r="M354" s="165"/>
    </row>
    <row r="355">
      <c r="I355" s="165"/>
      <c r="J355" s="165"/>
      <c r="K355" s="165"/>
      <c r="L355" s="165"/>
      <c r="M355" s="165"/>
    </row>
    <row r="356">
      <c r="I356" s="165"/>
      <c r="J356" s="165"/>
      <c r="K356" s="165"/>
      <c r="L356" s="165"/>
      <c r="M356" s="165"/>
    </row>
    <row r="357">
      <c r="I357" s="165"/>
      <c r="J357" s="165"/>
      <c r="K357" s="165"/>
      <c r="L357" s="165"/>
      <c r="M357" s="165"/>
    </row>
    <row r="358">
      <c r="I358" s="165"/>
      <c r="J358" s="165"/>
      <c r="K358" s="165"/>
      <c r="L358" s="165"/>
      <c r="M358" s="165"/>
    </row>
    <row r="359">
      <c r="I359" s="165"/>
      <c r="J359" s="165"/>
      <c r="K359" s="165"/>
      <c r="L359" s="165"/>
      <c r="M359" s="165"/>
    </row>
    <row r="360">
      <c r="I360" s="165"/>
      <c r="J360" s="165"/>
      <c r="K360" s="165"/>
      <c r="L360" s="165"/>
      <c r="M360" s="165"/>
    </row>
    <row r="361">
      <c r="I361" s="165"/>
      <c r="J361" s="165"/>
      <c r="K361" s="165"/>
      <c r="L361" s="165"/>
      <c r="M361" s="165"/>
    </row>
    <row r="362">
      <c r="I362" s="165"/>
      <c r="J362" s="165"/>
      <c r="K362" s="165"/>
      <c r="L362" s="165"/>
      <c r="M362" s="165"/>
    </row>
    <row r="363">
      <c r="I363" s="165"/>
      <c r="J363" s="165"/>
      <c r="K363" s="165"/>
      <c r="L363" s="165"/>
      <c r="M363" s="165"/>
    </row>
    <row r="364">
      <c r="I364" s="165"/>
      <c r="J364" s="165"/>
      <c r="K364" s="165"/>
      <c r="L364" s="165"/>
      <c r="M364" s="165"/>
    </row>
    <row r="365">
      <c r="I365" s="165"/>
      <c r="J365" s="165"/>
      <c r="K365" s="165"/>
      <c r="L365" s="165"/>
      <c r="M365" s="165"/>
    </row>
    <row r="366">
      <c r="I366" s="165"/>
      <c r="J366" s="165"/>
      <c r="K366" s="165"/>
      <c r="L366" s="165"/>
      <c r="M366" s="165"/>
    </row>
    <row r="367">
      <c r="I367" s="165"/>
      <c r="J367" s="165"/>
      <c r="K367" s="165"/>
      <c r="L367" s="165"/>
      <c r="M367" s="165"/>
    </row>
    <row r="368">
      <c r="I368" s="165"/>
      <c r="J368" s="165"/>
      <c r="K368" s="165"/>
      <c r="L368" s="165"/>
      <c r="M368" s="165"/>
    </row>
    <row r="369">
      <c r="I369" s="165"/>
      <c r="J369" s="165"/>
      <c r="K369" s="165"/>
      <c r="L369" s="165"/>
      <c r="M369" s="165"/>
    </row>
    <row r="370">
      <c r="I370" s="165"/>
      <c r="J370" s="165"/>
      <c r="K370" s="165"/>
      <c r="L370" s="165"/>
      <c r="M370" s="165"/>
    </row>
    <row r="371">
      <c r="I371" s="165"/>
      <c r="J371" s="165"/>
      <c r="K371" s="165"/>
      <c r="L371" s="165"/>
      <c r="M371" s="165"/>
    </row>
    <row r="372">
      <c r="I372" s="165"/>
      <c r="J372" s="165"/>
      <c r="K372" s="165"/>
      <c r="L372" s="165"/>
      <c r="M372" s="165"/>
    </row>
    <row r="373">
      <c r="I373" s="165"/>
      <c r="J373" s="165"/>
      <c r="K373" s="165"/>
      <c r="L373" s="165"/>
      <c r="M373" s="165"/>
    </row>
    <row r="374">
      <c r="I374" s="165"/>
      <c r="J374" s="165"/>
      <c r="K374" s="165"/>
      <c r="L374" s="165"/>
      <c r="M374" s="165"/>
    </row>
    <row r="375">
      <c r="I375" s="165"/>
      <c r="J375" s="165"/>
      <c r="K375" s="165"/>
      <c r="L375" s="165"/>
      <c r="M375" s="165"/>
    </row>
    <row r="376">
      <c r="I376" s="165"/>
      <c r="J376" s="165"/>
      <c r="K376" s="165"/>
      <c r="L376" s="165"/>
      <c r="M376" s="165"/>
    </row>
    <row r="377">
      <c r="I377" s="165"/>
      <c r="J377" s="165"/>
      <c r="K377" s="165"/>
      <c r="L377" s="165"/>
      <c r="M377" s="165"/>
    </row>
    <row r="378">
      <c r="I378" s="165"/>
      <c r="J378" s="165"/>
      <c r="K378" s="165"/>
      <c r="L378" s="165"/>
      <c r="M378" s="165"/>
    </row>
    <row r="379">
      <c r="I379" s="165"/>
      <c r="J379" s="165"/>
      <c r="K379" s="165"/>
      <c r="L379" s="165"/>
      <c r="M379" s="165"/>
    </row>
    <row r="380">
      <c r="I380" s="165"/>
      <c r="J380" s="165"/>
      <c r="K380" s="165"/>
      <c r="L380" s="165"/>
      <c r="M380" s="165"/>
    </row>
    <row r="381">
      <c r="I381" s="165"/>
      <c r="J381" s="165"/>
      <c r="K381" s="165"/>
      <c r="L381" s="165"/>
      <c r="M381" s="165"/>
    </row>
    <row r="382">
      <c r="I382" s="165"/>
      <c r="J382" s="165"/>
      <c r="K382" s="165"/>
      <c r="L382" s="165"/>
      <c r="M382" s="165"/>
    </row>
    <row r="383">
      <c r="I383" s="165"/>
      <c r="J383" s="165"/>
      <c r="K383" s="165"/>
      <c r="L383" s="165"/>
      <c r="M383" s="165"/>
    </row>
    <row r="384">
      <c r="I384" s="165"/>
      <c r="J384" s="165"/>
      <c r="K384" s="165"/>
      <c r="L384" s="165"/>
      <c r="M384" s="165"/>
    </row>
    <row r="385">
      <c r="I385" s="165"/>
      <c r="J385" s="165"/>
      <c r="K385" s="165"/>
      <c r="L385" s="165"/>
      <c r="M385" s="165"/>
    </row>
    <row r="386">
      <c r="I386" s="165"/>
      <c r="J386" s="165"/>
      <c r="K386" s="165"/>
      <c r="L386" s="165"/>
      <c r="M386" s="165"/>
    </row>
    <row r="387">
      <c r="I387" s="165"/>
      <c r="J387" s="165"/>
      <c r="K387" s="165"/>
      <c r="L387" s="165"/>
      <c r="M387" s="165"/>
    </row>
    <row r="388">
      <c r="I388" s="165"/>
      <c r="J388" s="165"/>
      <c r="K388" s="165"/>
      <c r="L388" s="165"/>
      <c r="M388" s="165"/>
    </row>
    <row r="389">
      <c r="I389" s="165"/>
      <c r="J389" s="165"/>
      <c r="K389" s="165"/>
      <c r="L389" s="165"/>
      <c r="M389" s="165"/>
    </row>
    <row r="390">
      <c r="I390" s="165"/>
      <c r="J390" s="165"/>
      <c r="K390" s="165"/>
      <c r="L390" s="165"/>
      <c r="M390" s="165"/>
    </row>
    <row r="391">
      <c r="I391" s="165"/>
      <c r="J391" s="165"/>
      <c r="K391" s="165"/>
      <c r="L391" s="165"/>
      <c r="M391" s="165"/>
    </row>
    <row r="392">
      <c r="I392" s="165"/>
      <c r="J392" s="165"/>
      <c r="K392" s="165"/>
      <c r="L392" s="165"/>
      <c r="M392" s="165"/>
    </row>
    <row r="393">
      <c r="I393" s="165"/>
      <c r="J393" s="165"/>
      <c r="K393" s="165"/>
      <c r="L393" s="165"/>
      <c r="M393" s="165"/>
    </row>
    <row r="394">
      <c r="I394" s="165"/>
      <c r="J394" s="165"/>
      <c r="K394" s="165"/>
      <c r="L394" s="165"/>
      <c r="M394" s="165"/>
    </row>
    <row r="395">
      <c r="I395" s="165"/>
      <c r="J395" s="165"/>
      <c r="K395" s="165"/>
      <c r="L395" s="165"/>
      <c r="M395" s="165"/>
    </row>
    <row r="396">
      <c r="I396" s="165"/>
      <c r="J396" s="165"/>
      <c r="K396" s="165"/>
      <c r="L396" s="165"/>
      <c r="M396" s="165"/>
    </row>
    <row r="397">
      <c r="I397" s="165"/>
      <c r="J397" s="165"/>
      <c r="K397" s="165"/>
      <c r="L397" s="165"/>
      <c r="M397" s="165"/>
    </row>
    <row r="398">
      <c r="I398" s="165"/>
      <c r="J398" s="165"/>
      <c r="K398" s="165"/>
      <c r="L398" s="165"/>
      <c r="M398" s="165"/>
    </row>
    <row r="399">
      <c r="I399" s="165"/>
      <c r="J399" s="165"/>
      <c r="K399" s="165"/>
      <c r="L399" s="165"/>
      <c r="M399" s="165"/>
    </row>
    <row r="400">
      <c r="I400" s="165"/>
      <c r="J400" s="165"/>
      <c r="K400" s="165"/>
      <c r="L400" s="165"/>
      <c r="M400" s="165"/>
    </row>
    <row r="401">
      <c r="I401" s="165"/>
      <c r="J401" s="165"/>
      <c r="K401" s="165"/>
      <c r="L401" s="165"/>
      <c r="M401" s="165"/>
    </row>
    <row r="402">
      <c r="I402" s="165"/>
      <c r="J402" s="165"/>
      <c r="K402" s="165"/>
      <c r="L402" s="165"/>
      <c r="M402" s="165"/>
    </row>
    <row r="403">
      <c r="I403" s="165"/>
      <c r="J403" s="165"/>
      <c r="K403" s="165"/>
      <c r="L403" s="165"/>
      <c r="M403" s="165"/>
    </row>
    <row r="404">
      <c r="I404" s="165"/>
      <c r="J404" s="165"/>
      <c r="K404" s="165"/>
      <c r="L404" s="165"/>
      <c r="M404" s="165"/>
    </row>
    <row r="405">
      <c r="I405" s="165"/>
      <c r="J405" s="165"/>
      <c r="K405" s="165"/>
      <c r="L405" s="165"/>
      <c r="M405" s="165"/>
    </row>
    <row r="406">
      <c r="I406" s="165"/>
      <c r="J406" s="165"/>
      <c r="K406" s="165"/>
      <c r="L406" s="165"/>
      <c r="M406" s="165"/>
    </row>
    <row r="407">
      <c r="I407" s="165"/>
      <c r="J407" s="165"/>
      <c r="K407" s="165"/>
      <c r="L407" s="165"/>
      <c r="M407" s="165"/>
    </row>
    <row r="408">
      <c r="I408" s="165"/>
      <c r="J408" s="165"/>
      <c r="K408" s="165"/>
      <c r="L408" s="165"/>
      <c r="M408" s="165"/>
    </row>
    <row r="409">
      <c r="I409" s="165"/>
      <c r="J409" s="165"/>
      <c r="K409" s="165"/>
      <c r="L409" s="165"/>
      <c r="M409" s="165"/>
    </row>
    <row r="410">
      <c r="I410" s="165"/>
      <c r="J410" s="165"/>
      <c r="K410" s="165"/>
      <c r="L410" s="165"/>
      <c r="M410" s="165"/>
    </row>
    <row r="411">
      <c r="I411" s="165"/>
      <c r="J411" s="165"/>
      <c r="K411" s="165"/>
      <c r="L411" s="165"/>
      <c r="M411" s="165"/>
    </row>
    <row r="412">
      <c r="I412" s="165"/>
      <c r="J412" s="165"/>
      <c r="K412" s="165"/>
      <c r="L412" s="165"/>
      <c r="M412" s="165"/>
    </row>
    <row r="413">
      <c r="I413" s="165"/>
      <c r="J413" s="165"/>
      <c r="K413" s="165"/>
      <c r="L413" s="165"/>
      <c r="M413" s="165"/>
    </row>
    <row r="414">
      <c r="I414" s="165"/>
      <c r="J414" s="165"/>
      <c r="K414" s="165"/>
      <c r="L414" s="165"/>
      <c r="M414" s="165"/>
    </row>
    <row r="415">
      <c r="I415" s="165"/>
      <c r="J415" s="165"/>
      <c r="K415" s="165"/>
      <c r="L415" s="165"/>
      <c r="M415" s="165"/>
    </row>
    <row r="416">
      <c r="I416" s="165"/>
      <c r="J416" s="165"/>
      <c r="K416" s="165"/>
      <c r="L416" s="165"/>
      <c r="M416" s="165"/>
    </row>
    <row r="417">
      <c r="I417" s="165"/>
      <c r="J417" s="165"/>
      <c r="K417" s="165"/>
      <c r="L417" s="165"/>
      <c r="M417" s="165"/>
    </row>
    <row r="418">
      <c r="I418" s="165"/>
      <c r="J418" s="165"/>
      <c r="K418" s="165"/>
      <c r="L418" s="165"/>
      <c r="M418" s="165"/>
    </row>
    <row r="419">
      <c r="I419" s="165"/>
      <c r="J419" s="165"/>
      <c r="K419" s="165"/>
      <c r="L419" s="165"/>
      <c r="M419" s="165"/>
    </row>
    <row r="420">
      <c r="I420" s="165"/>
      <c r="J420" s="165"/>
      <c r="K420" s="165"/>
      <c r="L420" s="165"/>
      <c r="M420" s="165"/>
    </row>
    <row r="421">
      <c r="I421" s="165"/>
      <c r="J421" s="165"/>
      <c r="K421" s="165"/>
      <c r="L421" s="165"/>
      <c r="M421" s="165"/>
    </row>
    <row r="422">
      <c r="I422" s="165"/>
      <c r="J422" s="165"/>
      <c r="K422" s="165"/>
      <c r="L422" s="165"/>
      <c r="M422" s="165"/>
    </row>
    <row r="423">
      <c r="I423" s="165"/>
      <c r="J423" s="165"/>
      <c r="K423" s="165"/>
      <c r="L423" s="165"/>
      <c r="M423" s="165"/>
    </row>
    <row r="424">
      <c r="I424" s="165"/>
      <c r="J424" s="165"/>
      <c r="K424" s="165"/>
      <c r="L424" s="165"/>
      <c r="M424" s="165"/>
    </row>
    <row r="425">
      <c r="I425" s="165"/>
      <c r="J425" s="165"/>
      <c r="K425" s="165"/>
      <c r="L425" s="165"/>
      <c r="M425" s="165"/>
    </row>
    <row r="426">
      <c r="I426" s="165"/>
      <c r="J426" s="165"/>
      <c r="K426" s="165"/>
      <c r="L426" s="165"/>
      <c r="M426" s="165"/>
    </row>
    <row r="427">
      <c r="I427" s="165"/>
      <c r="J427" s="165"/>
      <c r="K427" s="165"/>
      <c r="L427" s="165"/>
      <c r="M427" s="165"/>
    </row>
    <row r="428">
      <c r="I428" s="165"/>
      <c r="J428" s="165"/>
      <c r="K428" s="165"/>
      <c r="L428" s="165"/>
      <c r="M428" s="165"/>
    </row>
    <row r="429">
      <c r="I429" s="165"/>
      <c r="J429" s="165"/>
      <c r="K429" s="165"/>
      <c r="L429" s="165"/>
      <c r="M429" s="165"/>
    </row>
    <row r="430">
      <c r="I430" s="165"/>
      <c r="J430" s="165"/>
      <c r="K430" s="165"/>
      <c r="L430" s="165"/>
      <c r="M430" s="165"/>
    </row>
    <row r="431">
      <c r="I431" s="165"/>
      <c r="J431" s="165"/>
      <c r="K431" s="165"/>
      <c r="L431" s="165"/>
      <c r="M431" s="165"/>
    </row>
    <row r="432">
      <c r="I432" s="165"/>
      <c r="J432" s="165"/>
      <c r="K432" s="165"/>
      <c r="L432" s="165"/>
      <c r="M432" s="165"/>
    </row>
    <row r="433">
      <c r="I433" s="165"/>
      <c r="J433" s="165"/>
      <c r="K433" s="165"/>
      <c r="L433" s="165"/>
      <c r="M433" s="165"/>
    </row>
    <row r="434">
      <c r="I434" s="165"/>
      <c r="J434" s="165"/>
      <c r="K434" s="165"/>
      <c r="L434" s="165"/>
      <c r="M434" s="165"/>
    </row>
    <row r="435">
      <c r="I435" s="165"/>
      <c r="J435" s="165"/>
      <c r="K435" s="165"/>
      <c r="L435" s="165"/>
      <c r="M435" s="165"/>
    </row>
    <row r="436">
      <c r="I436" s="165"/>
      <c r="J436" s="165"/>
      <c r="K436" s="165"/>
      <c r="L436" s="165"/>
      <c r="M436" s="165"/>
    </row>
    <row r="437">
      <c r="I437" s="165"/>
      <c r="J437" s="165"/>
      <c r="K437" s="165"/>
      <c r="L437" s="165"/>
      <c r="M437" s="165"/>
    </row>
    <row r="438">
      <c r="I438" s="165"/>
      <c r="J438" s="165"/>
      <c r="K438" s="165"/>
      <c r="L438" s="165"/>
      <c r="M438" s="165"/>
    </row>
    <row r="439">
      <c r="I439" s="165"/>
      <c r="J439" s="165"/>
      <c r="K439" s="165"/>
      <c r="L439" s="165"/>
      <c r="M439" s="165"/>
    </row>
    <row r="440">
      <c r="I440" s="165"/>
      <c r="J440" s="165"/>
      <c r="K440" s="165"/>
      <c r="L440" s="165"/>
      <c r="M440" s="165"/>
    </row>
    <row r="441">
      <c r="I441" s="165"/>
      <c r="J441" s="165"/>
      <c r="K441" s="165"/>
      <c r="L441" s="165"/>
      <c r="M441" s="165"/>
    </row>
    <row r="442">
      <c r="I442" s="165"/>
      <c r="J442" s="165"/>
      <c r="K442" s="165"/>
      <c r="L442" s="165"/>
      <c r="M442" s="165"/>
    </row>
    <row r="443">
      <c r="I443" s="165"/>
      <c r="J443" s="165"/>
      <c r="K443" s="165"/>
      <c r="L443" s="165"/>
      <c r="M443" s="165"/>
    </row>
    <row r="444">
      <c r="I444" s="165"/>
      <c r="J444" s="165"/>
      <c r="K444" s="165"/>
      <c r="L444" s="165"/>
      <c r="M444" s="165"/>
    </row>
    <row r="445">
      <c r="I445" s="165"/>
      <c r="J445" s="165"/>
      <c r="K445" s="165"/>
      <c r="L445" s="165"/>
      <c r="M445" s="165"/>
    </row>
    <row r="446">
      <c r="I446" s="165"/>
      <c r="J446" s="165"/>
      <c r="K446" s="165"/>
      <c r="L446" s="165"/>
      <c r="M446" s="165"/>
    </row>
    <row r="447">
      <c r="I447" s="165"/>
      <c r="J447" s="165"/>
      <c r="K447" s="165"/>
      <c r="L447" s="165"/>
      <c r="M447" s="165"/>
    </row>
    <row r="448">
      <c r="I448" s="165"/>
      <c r="J448" s="165"/>
      <c r="K448" s="165"/>
      <c r="L448" s="165"/>
      <c r="M448" s="165"/>
    </row>
    <row r="449">
      <c r="I449" s="165"/>
      <c r="J449" s="165"/>
      <c r="K449" s="165"/>
      <c r="L449" s="165"/>
      <c r="M449" s="165"/>
    </row>
    <row r="450">
      <c r="I450" s="165"/>
      <c r="J450" s="165"/>
      <c r="K450" s="165"/>
      <c r="L450" s="165"/>
      <c r="M450" s="165"/>
    </row>
    <row r="451">
      <c r="I451" s="165"/>
      <c r="J451" s="165"/>
      <c r="K451" s="165"/>
      <c r="L451" s="165"/>
      <c r="M451" s="165"/>
    </row>
    <row r="452">
      <c r="I452" s="165"/>
      <c r="J452" s="165"/>
      <c r="K452" s="165"/>
      <c r="L452" s="165"/>
      <c r="M452" s="165"/>
    </row>
    <row r="453">
      <c r="I453" s="165"/>
      <c r="J453" s="165"/>
      <c r="K453" s="165"/>
      <c r="L453" s="165"/>
      <c r="M453" s="165"/>
    </row>
    <row r="454">
      <c r="I454" s="165"/>
      <c r="J454" s="165"/>
      <c r="K454" s="165"/>
      <c r="L454" s="165"/>
      <c r="M454" s="165"/>
    </row>
    <row r="455">
      <c r="I455" s="165"/>
      <c r="J455" s="165"/>
      <c r="K455" s="165"/>
      <c r="L455" s="165"/>
      <c r="M455" s="165"/>
    </row>
    <row r="456">
      <c r="I456" s="165"/>
      <c r="J456" s="165"/>
      <c r="K456" s="165"/>
      <c r="L456" s="165"/>
      <c r="M456" s="165"/>
    </row>
    <row r="457">
      <c r="I457" s="165"/>
      <c r="J457" s="165"/>
      <c r="K457" s="165"/>
      <c r="L457" s="165"/>
      <c r="M457" s="165"/>
    </row>
    <row r="458">
      <c r="I458" s="165"/>
      <c r="J458" s="165"/>
      <c r="K458" s="165"/>
      <c r="L458" s="165"/>
      <c r="M458" s="165"/>
    </row>
    <row r="459">
      <c r="I459" s="165"/>
      <c r="J459" s="165"/>
      <c r="K459" s="165"/>
      <c r="L459" s="165"/>
      <c r="M459" s="165"/>
    </row>
    <row r="460">
      <c r="I460" s="165"/>
      <c r="J460" s="165"/>
      <c r="K460" s="165"/>
      <c r="L460" s="165"/>
      <c r="M460" s="165"/>
    </row>
    <row r="461">
      <c r="I461" s="165"/>
      <c r="J461" s="165"/>
      <c r="K461" s="165"/>
      <c r="L461" s="165"/>
      <c r="M461" s="165"/>
    </row>
    <row r="462">
      <c r="I462" s="165"/>
      <c r="J462" s="165"/>
      <c r="K462" s="165"/>
      <c r="L462" s="165"/>
      <c r="M462" s="165"/>
    </row>
    <row r="463">
      <c r="I463" s="165"/>
      <c r="J463" s="165"/>
      <c r="K463" s="165"/>
      <c r="L463" s="165"/>
      <c r="M463" s="165"/>
    </row>
    <row r="464">
      <c r="I464" s="165"/>
      <c r="J464" s="165"/>
      <c r="K464" s="165"/>
      <c r="L464" s="165"/>
      <c r="M464" s="165"/>
    </row>
    <row r="465">
      <c r="I465" s="165"/>
      <c r="J465" s="165"/>
      <c r="K465" s="165"/>
      <c r="L465" s="165"/>
      <c r="M465" s="165"/>
    </row>
    <row r="466">
      <c r="I466" s="165"/>
      <c r="J466" s="165"/>
      <c r="K466" s="165"/>
      <c r="L466" s="165"/>
      <c r="M466" s="165"/>
    </row>
    <row r="467">
      <c r="I467" s="165"/>
      <c r="J467" s="165"/>
      <c r="K467" s="165"/>
      <c r="L467" s="165"/>
      <c r="M467" s="165"/>
    </row>
    <row r="468">
      <c r="I468" s="165"/>
      <c r="J468" s="165"/>
      <c r="K468" s="165"/>
      <c r="L468" s="165"/>
      <c r="M468" s="165"/>
    </row>
    <row r="469">
      <c r="I469" s="165"/>
      <c r="J469" s="165"/>
      <c r="K469" s="165"/>
      <c r="L469" s="165"/>
      <c r="M469" s="165"/>
    </row>
    <row r="470">
      <c r="I470" s="165"/>
      <c r="J470" s="165"/>
      <c r="K470" s="165"/>
      <c r="L470" s="165"/>
      <c r="M470" s="165"/>
    </row>
    <row r="471">
      <c r="I471" s="165"/>
      <c r="J471" s="165"/>
      <c r="K471" s="165"/>
      <c r="L471" s="165"/>
      <c r="M471" s="165"/>
    </row>
    <row r="472">
      <c r="I472" s="165"/>
      <c r="J472" s="165"/>
      <c r="K472" s="165"/>
      <c r="L472" s="165"/>
      <c r="M472" s="165"/>
    </row>
    <row r="473">
      <c r="I473" s="165"/>
      <c r="J473" s="165"/>
      <c r="K473" s="165"/>
      <c r="L473" s="165"/>
      <c r="M473" s="165"/>
    </row>
    <row r="474">
      <c r="I474" s="165"/>
      <c r="J474" s="165"/>
      <c r="K474" s="165"/>
      <c r="L474" s="165"/>
      <c r="M474" s="165"/>
    </row>
    <row r="475">
      <c r="I475" s="165"/>
      <c r="J475" s="165"/>
      <c r="K475" s="165"/>
      <c r="L475" s="165"/>
      <c r="M475" s="165"/>
    </row>
    <row r="476">
      <c r="I476" s="165"/>
      <c r="J476" s="165"/>
      <c r="K476" s="165"/>
      <c r="L476" s="165"/>
      <c r="M476" s="165"/>
    </row>
    <row r="477">
      <c r="I477" s="165"/>
      <c r="J477" s="165"/>
      <c r="K477" s="165"/>
      <c r="L477" s="165"/>
      <c r="M477" s="165"/>
    </row>
    <row r="478">
      <c r="I478" s="165"/>
      <c r="J478" s="165"/>
      <c r="K478" s="165"/>
      <c r="L478" s="165"/>
      <c r="M478" s="165"/>
    </row>
    <row r="479">
      <c r="I479" s="165"/>
      <c r="J479" s="165"/>
      <c r="K479" s="165"/>
      <c r="L479" s="165"/>
      <c r="M479" s="165"/>
    </row>
    <row r="480">
      <c r="I480" s="165"/>
      <c r="J480" s="165"/>
      <c r="K480" s="165"/>
      <c r="L480" s="165"/>
      <c r="M480" s="165"/>
    </row>
    <row r="481">
      <c r="I481" s="165"/>
      <c r="J481" s="165"/>
      <c r="K481" s="165"/>
      <c r="L481" s="165"/>
      <c r="M481" s="165"/>
    </row>
    <row r="482">
      <c r="I482" s="165"/>
      <c r="J482" s="165"/>
      <c r="K482" s="165"/>
      <c r="L482" s="165"/>
      <c r="M482" s="165"/>
    </row>
    <row r="483">
      <c r="I483" s="165"/>
      <c r="J483" s="165"/>
      <c r="K483" s="165"/>
      <c r="L483" s="165"/>
      <c r="M483" s="165"/>
    </row>
    <row r="484">
      <c r="I484" s="165"/>
      <c r="J484" s="165"/>
      <c r="K484" s="165"/>
      <c r="L484" s="165"/>
      <c r="M484" s="165"/>
    </row>
    <row r="485">
      <c r="I485" s="165"/>
      <c r="J485" s="165"/>
      <c r="K485" s="165"/>
      <c r="L485" s="165"/>
      <c r="M485" s="165"/>
    </row>
    <row r="486">
      <c r="I486" s="165"/>
      <c r="J486" s="165"/>
      <c r="K486" s="165"/>
      <c r="L486" s="165"/>
      <c r="M486" s="165"/>
    </row>
    <row r="487">
      <c r="I487" s="165"/>
      <c r="J487" s="165"/>
      <c r="K487" s="165"/>
      <c r="L487" s="165"/>
      <c r="M487" s="165"/>
    </row>
    <row r="488">
      <c r="I488" s="165"/>
      <c r="J488" s="165"/>
      <c r="K488" s="165"/>
      <c r="L488" s="165"/>
      <c r="M488" s="165"/>
    </row>
    <row r="489">
      <c r="I489" s="165"/>
      <c r="J489" s="165"/>
      <c r="K489" s="165"/>
      <c r="L489" s="165"/>
      <c r="M489" s="165"/>
    </row>
    <row r="490">
      <c r="I490" s="165"/>
      <c r="J490" s="165"/>
      <c r="K490" s="165"/>
      <c r="L490" s="165"/>
      <c r="M490" s="165"/>
    </row>
    <row r="491">
      <c r="I491" s="165"/>
      <c r="J491" s="165"/>
      <c r="K491" s="165"/>
      <c r="L491" s="165"/>
      <c r="M491" s="165"/>
    </row>
    <row r="492">
      <c r="I492" s="165"/>
      <c r="J492" s="165"/>
      <c r="K492" s="165"/>
      <c r="L492" s="165"/>
      <c r="M492" s="165"/>
    </row>
    <row r="493">
      <c r="I493" s="165"/>
      <c r="J493" s="165"/>
      <c r="K493" s="165"/>
      <c r="L493" s="165"/>
      <c r="M493" s="165"/>
    </row>
    <row r="494">
      <c r="I494" s="165"/>
      <c r="J494" s="165"/>
      <c r="K494" s="165"/>
      <c r="L494" s="165"/>
      <c r="M494" s="165"/>
    </row>
    <row r="495">
      <c r="I495" s="165"/>
      <c r="J495" s="165"/>
      <c r="K495" s="165"/>
      <c r="L495" s="165"/>
      <c r="M495" s="165"/>
    </row>
    <row r="496">
      <c r="I496" s="165"/>
      <c r="J496" s="165"/>
      <c r="K496" s="165"/>
      <c r="L496" s="165"/>
      <c r="M496" s="165"/>
    </row>
    <row r="497">
      <c r="I497" s="165"/>
      <c r="J497" s="165"/>
      <c r="K497" s="165"/>
      <c r="L497" s="165"/>
      <c r="M497" s="165"/>
    </row>
    <row r="498">
      <c r="I498" s="165"/>
      <c r="J498" s="165"/>
      <c r="K498" s="165"/>
      <c r="L498" s="165"/>
      <c r="M498" s="165"/>
    </row>
    <row r="499">
      <c r="I499" s="165"/>
      <c r="J499" s="165"/>
      <c r="K499" s="165"/>
      <c r="L499" s="165"/>
      <c r="M499" s="165"/>
    </row>
    <row r="500">
      <c r="I500" s="165"/>
      <c r="J500" s="165"/>
      <c r="K500" s="165"/>
      <c r="L500" s="165"/>
      <c r="M500" s="165"/>
    </row>
    <row r="501">
      <c r="I501" s="165"/>
      <c r="J501" s="165"/>
      <c r="K501" s="165"/>
      <c r="L501" s="165"/>
      <c r="M501" s="165"/>
    </row>
    <row r="502">
      <c r="I502" s="165"/>
      <c r="J502" s="165"/>
      <c r="K502" s="165"/>
      <c r="L502" s="165"/>
      <c r="M502" s="165"/>
    </row>
    <row r="503">
      <c r="I503" s="165"/>
      <c r="J503" s="165"/>
      <c r="K503" s="165"/>
      <c r="L503" s="165"/>
      <c r="M503" s="165"/>
    </row>
    <row r="504">
      <c r="I504" s="165"/>
      <c r="J504" s="165"/>
      <c r="K504" s="165"/>
      <c r="L504" s="165"/>
      <c r="M504" s="165"/>
    </row>
    <row r="505">
      <c r="I505" s="165"/>
      <c r="J505" s="165"/>
      <c r="K505" s="165"/>
      <c r="L505" s="165"/>
      <c r="M505" s="165"/>
    </row>
    <row r="506">
      <c r="I506" s="165"/>
      <c r="J506" s="165"/>
      <c r="K506" s="165"/>
      <c r="L506" s="165"/>
      <c r="M506" s="165"/>
    </row>
    <row r="507">
      <c r="I507" s="165"/>
      <c r="J507" s="165"/>
      <c r="K507" s="165"/>
      <c r="L507" s="165"/>
      <c r="M507" s="165"/>
    </row>
    <row r="508">
      <c r="I508" s="165"/>
      <c r="J508" s="165"/>
      <c r="K508" s="165"/>
      <c r="L508" s="165"/>
      <c r="M508" s="165"/>
    </row>
    <row r="509">
      <c r="I509" s="165"/>
      <c r="J509" s="165"/>
      <c r="K509" s="165"/>
      <c r="L509" s="165"/>
      <c r="M509" s="165"/>
    </row>
    <row r="510">
      <c r="I510" s="165"/>
      <c r="J510" s="165"/>
      <c r="K510" s="165"/>
      <c r="L510" s="165"/>
      <c r="M510" s="165"/>
    </row>
    <row r="511">
      <c r="I511" s="165"/>
      <c r="J511" s="165"/>
      <c r="K511" s="165"/>
      <c r="L511" s="165"/>
      <c r="M511" s="165"/>
    </row>
    <row r="512">
      <c r="I512" s="165"/>
      <c r="J512" s="165"/>
      <c r="K512" s="165"/>
      <c r="L512" s="165"/>
      <c r="M512" s="165"/>
    </row>
    <row r="513">
      <c r="I513" s="165"/>
      <c r="J513" s="165"/>
      <c r="K513" s="165"/>
      <c r="L513" s="165"/>
      <c r="M513" s="165"/>
    </row>
    <row r="514">
      <c r="I514" s="165"/>
      <c r="J514" s="165"/>
      <c r="K514" s="165"/>
      <c r="L514" s="165"/>
      <c r="M514" s="165"/>
    </row>
    <row r="515">
      <c r="I515" s="165"/>
      <c r="J515" s="165"/>
      <c r="K515" s="165"/>
      <c r="L515" s="165"/>
      <c r="M515" s="165"/>
    </row>
    <row r="516">
      <c r="I516" s="165"/>
      <c r="J516" s="165"/>
      <c r="K516" s="165"/>
      <c r="L516" s="165"/>
      <c r="M516" s="165"/>
    </row>
    <row r="517">
      <c r="I517" s="165"/>
      <c r="J517" s="165"/>
      <c r="K517" s="165"/>
      <c r="L517" s="165"/>
      <c r="M517" s="165"/>
    </row>
    <row r="518">
      <c r="I518" s="165"/>
      <c r="J518" s="165"/>
      <c r="K518" s="165"/>
      <c r="L518" s="165"/>
      <c r="M518" s="165"/>
    </row>
    <row r="519">
      <c r="I519" s="165"/>
      <c r="J519" s="165"/>
      <c r="K519" s="165"/>
      <c r="L519" s="165"/>
      <c r="M519" s="165"/>
    </row>
    <row r="520">
      <c r="I520" s="165"/>
      <c r="J520" s="165"/>
      <c r="K520" s="165"/>
      <c r="L520" s="165"/>
      <c r="M520" s="165"/>
    </row>
    <row r="521">
      <c r="I521" s="165"/>
      <c r="J521" s="165"/>
      <c r="K521" s="165"/>
      <c r="L521" s="165"/>
      <c r="M521" s="165"/>
    </row>
    <row r="522">
      <c r="I522" s="165"/>
      <c r="J522" s="165"/>
      <c r="K522" s="165"/>
      <c r="L522" s="165"/>
      <c r="M522" s="165"/>
    </row>
    <row r="523">
      <c r="I523" s="165"/>
      <c r="J523" s="165"/>
      <c r="K523" s="165"/>
      <c r="L523" s="165"/>
      <c r="M523" s="165"/>
    </row>
    <row r="524">
      <c r="I524" s="165"/>
      <c r="J524" s="165"/>
      <c r="K524" s="165"/>
      <c r="L524" s="165"/>
      <c r="M524" s="165"/>
    </row>
    <row r="525">
      <c r="I525" s="165"/>
      <c r="J525" s="165"/>
      <c r="K525" s="165"/>
      <c r="L525" s="165"/>
      <c r="M525" s="165"/>
    </row>
    <row r="526">
      <c r="I526" s="165"/>
      <c r="J526" s="165"/>
      <c r="K526" s="165"/>
      <c r="L526" s="165"/>
      <c r="M526" s="165"/>
    </row>
    <row r="527">
      <c r="I527" s="165"/>
      <c r="J527" s="165"/>
      <c r="K527" s="165"/>
      <c r="L527" s="165"/>
      <c r="M527" s="165"/>
    </row>
    <row r="528">
      <c r="I528" s="165"/>
      <c r="J528" s="165"/>
      <c r="K528" s="165"/>
      <c r="L528" s="165"/>
      <c r="M528" s="165"/>
    </row>
    <row r="529">
      <c r="I529" s="165"/>
      <c r="J529" s="165"/>
      <c r="K529" s="165"/>
      <c r="L529" s="165"/>
      <c r="M529" s="165"/>
    </row>
    <row r="530">
      <c r="I530" s="165"/>
      <c r="J530" s="165"/>
      <c r="K530" s="165"/>
      <c r="L530" s="165"/>
      <c r="M530" s="165"/>
    </row>
    <row r="531">
      <c r="I531" s="165"/>
      <c r="J531" s="165"/>
      <c r="K531" s="165"/>
      <c r="L531" s="165"/>
      <c r="M531" s="165"/>
    </row>
    <row r="532">
      <c r="I532" s="165"/>
      <c r="J532" s="165"/>
      <c r="K532" s="165"/>
      <c r="L532" s="165"/>
      <c r="M532" s="165"/>
    </row>
    <row r="533">
      <c r="I533" s="165"/>
      <c r="J533" s="165"/>
      <c r="K533" s="165"/>
      <c r="L533" s="165"/>
      <c r="M533" s="165"/>
    </row>
    <row r="534">
      <c r="I534" s="165"/>
      <c r="J534" s="165"/>
      <c r="K534" s="165"/>
      <c r="L534" s="165"/>
      <c r="M534" s="165"/>
    </row>
    <row r="535">
      <c r="I535" s="165"/>
      <c r="J535" s="165"/>
      <c r="K535" s="165"/>
      <c r="L535" s="165"/>
      <c r="M535" s="165"/>
    </row>
    <row r="536">
      <c r="I536" s="165"/>
      <c r="J536" s="165"/>
      <c r="K536" s="165"/>
      <c r="L536" s="165"/>
      <c r="M536" s="165"/>
    </row>
    <row r="537">
      <c r="I537" s="165"/>
      <c r="J537" s="165"/>
      <c r="K537" s="165"/>
      <c r="L537" s="165"/>
      <c r="M537" s="165"/>
    </row>
    <row r="538">
      <c r="I538" s="165"/>
      <c r="J538" s="165"/>
      <c r="K538" s="165"/>
      <c r="L538" s="165"/>
      <c r="M538" s="165"/>
    </row>
    <row r="539">
      <c r="I539" s="165"/>
      <c r="J539" s="165"/>
      <c r="K539" s="165"/>
      <c r="L539" s="165"/>
      <c r="M539" s="165"/>
    </row>
    <row r="540">
      <c r="I540" s="165"/>
      <c r="J540" s="165"/>
      <c r="K540" s="165"/>
      <c r="L540" s="165"/>
      <c r="M540" s="165"/>
    </row>
    <row r="541">
      <c r="I541" s="165"/>
      <c r="J541" s="165"/>
      <c r="K541" s="165"/>
      <c r="L541" s="165"/>
      <c r="M541" s="165"/>
    </row>
    <row r="542">
      <c r="I542" s="165"/>
      <c r="J542" s="165"/>
      <c r="K542" s="165"/>
      <c r="L542" s="165"/>
      <c r="M542" s="165"/>
    </row>
    <row r="543">
      <c r="I543" s="165"/>
      <c r="J543" s="165"/>
      <c r="K543" s="165"/>
      <c r="L543" s="165"/>
      <c r="M543" s="165"/>
    </row>
    <row r="544">
      <c r="I544" s="165"/>
      <c r="J544" s="165"/>
      <c r="K544" s="165"/>
      <c r="L544" s="165"/>
      <c r="M544" s="165"/>
    </row>
    <row r="545">
      <c r="I545" s="165"/>
      <c r="J545" s="165"/>
      <c r="K545" s="165"/>
      <c r="L545" s="165"/>
      <c r="M545" s="165"/>
    </row>
    <row r="546">
      <c r="I546" s="165"/>
      <c r="J546" s="165"/>
      <c r="K546" s="165"/>
      <c r="L546" s="165"/>
      <c r="M546" s="165"/>
    </row>
    <row r="547">
      <c r="I547" s="165"/>
      <c r="J547" s="165"/>
      <c r="K547" s="165"/>
      <c r="L547" s="165"/>
      <c r="M547" s="165"/>
    </row>
    <row r="548">
      <c r="I548" s="165"/>
      <c r="J548" s="165"/>
      <c r="K548" s="165"/>
      <c r="L548" s="165"/>
      <c r="M548" s="165"/>
    </row>
    <row r="549">
      <c r="I549" s="165"/>
      <c r="J549" s="165"/>
      <c r="K549" s="165"/>
      <c r="L549" s="165"/>
      <c r="M549" s="165"/>
    </row>
    <row r="550">
      <c r="I550" s="165"/>
      <c r="J550" s="165"/>
      <c r="K550" s="165"/>
      <c r="L550" s="165"/>
      <c r="M550" s="165"/>
    </row>
    <row r="551">
      <c r="I551" s="165"/>
      <c r="J551" s="165"/>
      <c r="K551" s="165"/>
      <c r="L551" s="165"/>
      <c r="M551" s="165"/>
    </row>
    <row r="552">
      <c r="I552" s="165"/>
      <c r="J552" s="165"/>
      <c r="K552" s="165"/>
      <c r="L552" s="165"/>
      <c r="M552" s="165"/>
    </row>
    <row r="553">
      <c r="I553" s="165"/>
      <c r="J553" s="165"/>
      <c r="K553" s="165"/>
      <c r="L553" s="165"/>
      <c r="M553" s="165"/>
    </row>
    <row r="554">
      <c r="I554" s="165"/>
      <c r="J554" s="165"/>
      <c r="K554" s="165"/>
      <c r="L554" s="165"/>
      <c r="M554" s="165"/>
    </row>
    <row r="555">
      <c r="I555" s="165"/>
      <c r="J555" s="165"/>
      <c r="K555" s="165"/>
      <c r="L555" s="165"/>
      <c r="M555" s="165"/>
    </row>
    <row r="556">
      <c r="I556" s="165"/>
      <c r="J556" s="165"/>
      <c r="K556" s="165"/>
      <c r="L556" s="165"/>
      <c r="M556" s="165"/>
    </row>
    <row r="557">
      <c r="I557" s="165"/>
      <c r="J557" s="165"/>
      <c r="K557" s="165"/>
      <c r="L557" s="165"/>
      <c r="M557" s="165"/>
    </row>
    <row r="558">
      <c r="I558" s="165"/>
      <c r="J558" s="165"/>
      <c r="K558" s="165"/>
      <c r="L558" s="165"/>
      <c r="M558" s="165"/>
    </row>
    <row r="559">
      <c r="I559" s="165"/>
      <c r="J559" s="165"/>
      <c r="K559" s="165"/>
      <c r="L559" s="165"/>
      <c r="M559" s="165"/>
    </row>
    <row r="560">
      <c r="I560" s="165"/>
      <c r="J560" s="165"/>
      <c r="K560" s="165"/>
      <c r="L560" s="165"/>
      <c r="M560" s="165"/>
    </row>
    <row r="561">
      <c r="I561" s="165"/>
      <c r="J561" s="165"/>
      <c r="K561" s="165"/>
      <c r="L561" s="165"/>
      <c r="M561" s="165"/>
    </row>
    <row r="562">
      <c r="I562" s="165"/>
      <c r="J562" s="165"/>
      <c r="K562" s="165"/>
      <c r="L562" s="165"/>
      <c r="M562" s="165"/>
    </row>
    <row r="563">
      <c r="I563" s="165"/>
      <c r="J563" s="165"/>
      <c r="K563" s="165"/>
      <c r="L563" s="165"/>
      <c r="M563" s="165"/>
    </row>
    <row r="564">
      <c r="I564" s="165"/>
      <c r="J564" s="165"/>
      <c r="K564" s="165"/>
      <c r="L564" s="165"/>
      <c r="M564" s="165"/>
    </row>
    <row r="565">
      <c r="I565" s="165"/>
      <c r="J565" s="165"/>
      <c r="K565" s="165"/>
      <c r="L565" s="165"/>
      <c r="M565" s="165"/>
    </row>
    <row r="566">
      <c r="I566" s="165"/>
      <c r="J566" s="165"/>
      <c r="K566" s="165"/>
      <c r="L566" s="165"/>
      <c r="M566" s="165"/>
    </row>
    <row r="567">
      <c r="I567" s="165"/>
      <c r="J567" s="165"/>
      <c r="K567" s="165"/>
      <c r="L567" s="165"/>
      <c r="M567" s="165"/>
    </row>
    <row r="568">
      <c r="I568" s="165"/>
      <c r="J568" s="165"/>
      <c r="K568" s="165"/>
      <c r="L568" s="165"/>
      <c r="M568" s="165"/>
    </row>
    <row r="569">
      <c r="I569" s="165"/>
      <c r="J569" s="165"/>
      <c r="K569" s="165"/>
      <c r="L569" s="165"/>
      <c r="M569" s="165"/>
    </row>
    <row r="570">
      <c r="I570" s="165"/>
      <c r="J570" s="165"/>
      <c r="K570" s="165"/>
      <c r="L570" s="165"/>
      <c r="M570" s="165"/>
    </row>
    <row r="571">
      <c r="I571" s="165"/>
      <c r="J571" s="165"/>
      <c r="K571" s="165"/>
      <c r="L571" s="165"/>
      <c r="M571" s="165"/>
    </row>
    <row r="572">
      <c r="I572" s="165"/>
      <c r="J572" s="165"/>
      <c r="K572" s="165"/>
      <c r="L572" s="165"/>
      <c r="M572" s="165"/>
    </row>
    <row r="573">
      <c r="I573" s="165"/>
      <c r="J573" s="165"/>
      <c r="K573" s="165"/>
      <c r="L573" s="165"/>
      <c r="M573" s="165"/>
    </row>
    <row r="574">
      <c r="I574" s="165"/>
      <c r="J574" s="165"/>
      <c r="K574" s="165"/>
      <c r="L574" s="165"/>
      <c r="M574" s="165"/>
    </row>
    <row r="575">
      <c r="I575" s="165"/>
      <c r="J575" s="165"/>
      <c r="K575" s="165"/>
      <c r="L575" s="165"/>
      <c r="M575" s="165"/>
    </row>
    <row r="576">
      <c r="I576" s="165"/>
      <c r="J576" s="165"/>
      <c r="K576" s="165"/>
      <c r="L576" s="165"/>
      <c r="M576" s="165"/>
    </row>
    <row r="577">
      <c r="I577" s="165"/>
      <c r="J577" s="165"/>
      <c r="K577" s="165"/>
      <c r="L577" s="165"/>
      <c r="M577" s="165"/>
    </row>
    <row r="578">
      <c r="I578" s="165"/>
      <c r="J578" s="165"/>
      <c r="K578" s="165"/>
      <c r="L578" s="165"/>
      <c r="M578" s="165"/>
    </row>
    <row r="579">
      <c r="I579" s="165"/>
      <c r="J579" s="165"/>
      <c r="K579" s="165"/>
      <c r="L579" s="165"/>
      <c r="M579" s="165"/>
    </row>
    <row r="580">
      <c r="I580" s="165"/>
      <c r="J580" s="165"/>
      <c r="K580" s="165"/>
      <c r="L580" s="165"/>
      <c r="M580" s="165"/>
    </row>
    <row r="581">
      <c r="I581" s="165"/>
      <c r="J581" s="165"/>
      <c r="K581" s="165"/>
      <c r="L581" s="165"/>
      <c r="M581" s="165"/>
    </row>
    <row r="582">
      <c r="I582" s="165"/>
      <c r="J582" s="165"/>
      <c r="K582" s="165"/>
      <c r="L582" s="165"/>
      <c r="M582" s="165"/>
    </row>
    <row r="583">
      <c r="I583" s="165"/>
      <c r="J583" s="165"/>
      <c r="K583" s="165"/>
      <c r="L583" s="165"/>
      <c r="M583" s="165"/>
    </row>
    <row r="584">
      <c r="I584" s="165"/>
      <c r="J584" s="165"/>
      <c r="K584" s="165"/>
      <c r="L584" s="165"/>
      <c r="M584" s="165"/>
    </row>
    <row r="585">
      <c r="I585" s="165"/>
      <c r="J585" s="165"/>
      <c r="K585" s="165"/>
      <c r="L585" s="165"/>
      <c r="M585" s="165"/>
    </row>
    <row r="586">
      <c r="I586" s="165"/>
      <c r="J586" s="165"/>
      <c r="K586" s="165"/>
      <c r="L586" s="165"/>
      <c r="M586" s="165"/>
    </row>
    <row r="587">
      <c r="I587" s="165"/>
      <c r="J587" s="165"/>
      <c r="K587" s="165"/>
      <c r="L587" s="165"/>
      <c r="M587" s="165"/>
    </row>
    <row r="588">
      <c r="I588" s="165"/>
      <c r="J588" s="165"/>
      <c r="K588" s="165"/>
      <c r="L588" s="165"/>
      <c r="M588" s="165"/>
    </row>
    <row r="589">
      <c r="I589" s="165"/>
      <c r="J589" s="165"/>
      <c r="K589" s="165"/>
      <c r="L589" s="165"/>
      <c r="M589" s="165"/>
    </row>
    <row r="590">
      <c r="I590" s="165"/>
      <c r="J590" s="165"/>
      <c r="K590" s="165"/>
      <c r="L590" s="165"/>
      <c r="M590" s="165"/>
    </row>
    <row r="591">
      <c r="I591" s="165"/>
      <c r="J591" s="165"/>
      <c r="K591" s="165"/>
      <c r="L591" s="165"/>
      <c r="M591" s="165"/>
    </row>
    <row r="592">
      <c r="I592" s="165"/>
      <c r="J592" s="165"/>
      <c r="K592" s="165"/>
      <c r="L592" s="165"/>
      <c r="M592" s="165"/>
    </row>
    <row r="593">
      <c r="I593" s="165"/>
      <c r="J593" s="165"/>
      <c r="K593" s="165"/>
      <c r="L593" s="165"/>
      <c r="M593" s="165"/>
    </row>
    <row r="594">
      <c r="I594" s="165"/>
      <c r="J594" s="165"/>
      <c r="K594" s="165"/>
      <c r="L594" s="165"/>
      <c r="M594" s="165"/>
    </row>
    <row r="595">
      <c r="I595" s="165"/>
      <c r="J595" s="165"/>
      <c r="K595" s="165"/>
      <c r="L595" s="165"/>
      <c r="M595" s="165"/>
    </row>
    <row r="596">
      <c r="I596" s="165"/>
      <c r="J596" s="165"/>
      <c r="K596" s="165"/>
      <c r="L596" s="165"/>
      <c r="M596" s="165"/>
    </row>
    <row r="597">
      <c r="I597" s="165"/>
      <c r="J597" s="165"/>
      <c r="K597" s="165"/>
      <c r="L597" s="165"/>
      <c r="M597" s="165"/>
    </row>
    <row r="598">
      <c r="I598" s="165"/>
      <c r="J598" s="165"/>
      <c r="K598" s="165"/>
      <c r="L598" s="165"/>
      <c r="M598" s="165"/>
    </row>
    <row r="599">
      <c r="I599" s="165"/>
      <c r="J599" s="165"/>
      <c r="K599" s="165"/>
      <c r="L599" s="165"/>
      <c r="M599" s="165"/>
    </row>
    <row r="600">
      <c r="I600" s="165"/>
      <c r="J600" s="165"/>
      <c r="K600" s="165"/>
      <c r="L600" s="165"/>
      <c r="M600" s="165"/>
    </row>
    <row r="601">
      <c r="I601" s="165"/>
      <c r="J601" s="165"/>
      <c r="K601" s="165"/>
      <c r="L601" s="165"/>
      <c r="M601" s="165"/>
    </row>
    <row r="602">
      <c r="I602" s="165"/>
      <c r="J602" s="165"/>
      <c r="K602" s="165"/>
      <c r="L602" s="165"/>
      <c r="M602" s="165"/>
    </row>
    <row r="603">
      <c r="I603" s="165"/>
      <c r="J603" s="165"/>
      <c r="K603" s="165"/>
      <c r="L603" s="165"/>
      <c r="M603" s="165"/>
    </row>
    <row r="604">
      <c r="I604" s="165"/>
      <c r="J604" s="165"/>
      <c r="K604" s="165"/>
      <c r="L604" s="165"/>
      <c r="M604" s="165"/>
    </row>
    <row r="605">
      <c r="I605" s="165"/>
      <c r="J605" s="165"/>
      <c r="K605" s="165"/>
      <c r="L605" s="165"/>
      <c r="M605" s="165"/>
    </row>
    <row r="606">
      <c r="I606" s="165"/>
      <c r="J606" s="165"/>
      <c r="K606" s="165"/>
      <c r="L606" s="165"/>
      <c r="M606" s="165"/>
    </row>
    <row r="607">
      <c r="I607" s="165"/>
      <c r="J607" s="165"/>
      <c r="K607" s="165"/>
      <c r="L607" s="165"/>
      <c r="M607" s="165"/>
    </row>
    <row r="608">
      <c r="I608" s="165"/>
      <c r="J608" s="165"/>
      <c r="K608" s="165"/>
      <c r="L608" s="165"/>
      <c r="M608" s="165"/>
    </row>
    <row r="609">
      <c r="I609" s="165"/>
      <c r="J609" s="165"/>
      <c r="K609" s="165"/>
      <c r="L609" s="165"/>
      <c r="M609" s="165"/>
    </row>
    <row r="610">
      <c r="I610" s="165"/>
      <c r="J610" s="165"/>
      <c r="K610" s="165"/>
      <c r="L610" s="165"/>
      <c r="M610" s="165"/>
    </row>
    <row r="611">
      <c r="I611" s="165"/>
      <c r="J611" s="165"/>
      <c r="K611" s="165"/>
      <c r="L611" s="165"/>
      <c r="M611" s="165"/>
    </row>
    <row r="612">
      <c r="I612" s="165"/>
      <c r="J612" s="165"/>
      <c r="K612" s="165"/>
      <c r="L612" s="165"/>
      <c r="M612" s="165"/>
    </row>
    <row r="613">
      <c r="I613" s="165"/>
      <c r="J613" s="165"/>
      <c r="K613" s="165"/>
      <c r="L613" s="165"/>
      <c r="M613" s="165"/>
    </row>
    <row r="614">
      <c r="I614" s="165"/>
      <c r="J614" s="165"/>
      <c r="K614" s="165"/>
      <c r="L614" s="165"/>
      <c r="M614" s="165"/>
    </row>
    <row r="615">
      <c r="I615" s="165"/>
      <c r="J615" s="165"/>
      <c r="K615" s="165"/>
      <c r="L615" s="165"/>
      <c r="M615" s="165"/>
    </row>
    <row r="616">
      <c r="I616" s="165"/>
      <c r="J616" s="165"/>
      <c r="K616" s="165"/>
      <c r="L616" s="165"/>
      <c r="M616" s="165"/>
    </row>
    <row r="617">
      <c r="I617" s="165"/>
      <c r="J617" s="165"/>
      <c r="K617" s="165"/>
      <c r="L617" s="165"/>
      <c r="M617" s="165"/>
    </row>
    <row r="618">
      <c r="I618" s="165"/>
      <c r="J618" s="165"/>
      <c r="K618" s="165"/>
      <c r="L618" s="165"/>
      <c r="M618" s="165"/>
    </row>
    <row r="619">
      <c r="I619" s="165"/>
      <c r="J619" s="165"/>
      <c r="K619" s="165"/>
      <c r="L619" s="165"/>
      <c r="M619" s="165"/>
    </row>
    <row r="620">
      <c r="I620" s="165"/>
      <c r="J620" s="165"/>
      <c r="K620" s="165"/>
      <c r="L620" s="165"/>
      <c r="M620" s="165"/>
    </row>
    <row r="621">
      <c r="I621" s="165"/>
      <c r="J621" s="165"/>
      <c r="K621" s="165"/>
      <c r="L621" s="165"/>
      <c r="M621" s="165"/>
    </row>
    <row r="622">
      <c r="I622" s="165"/>
      <c r="J622" s="165"/>
      <c r="K622" s="165"/>
      <c r="L622" s="165"/>
      <c r="M622" s="165"/>
    </row>
    <row r="623">
      <c r="I623" s="165"/>
      <c r="J623" s="165"/>
      <c r="K623" s="165"/>
      <c r="L623" s="165"/>
      <c r="M623" s="165"/>
    </row>
    <row r="624">
      <c r="I624" s="165"/>
      <c r="J624" s="165"/>
      <c r="K624" s="165"/>
      <c r="L624" s="165"/>
      <c r="M624" s="165"/>
    </row>
    <row r="625">
      <c r="I625" s="165"/>
      <c r="J625" s="165"/>
      <c r="K625" s="165"/>
      <c r="L625" s="165"/>
      <c r="M625" s="165"/>
    </row>
    <row r="626">
      <c r="I626" s="165"/>
      <c r="J626" s="165"/>
      <c r="K626" s="165"/>
      <c r="L626" s="165"/>
      <c r="M626" s="165"/>
    </row>
    <row r="627">
      <c r="I627" s="165"/>
      <c r="J627" s="165"/>
      <c r="K627" s="165"/>
      <c r="L627" s="165"/>
      <c r="M627" s="165"/>
    </row>
    <row r="628">
      <c r="I628" s="165"/>
      <c r="J628" s="165"/>
      <c r="K628" s="165"/>
      <c r="L628" s="165"/>
      <c r="M628" s="165"/>
    </row>
    <row r="629">
      <c r="I629" s="165"/>
      <c r="J629" s="165"/>
      <c r="K629" s="165"/>
      <c r="L629" s="165"/>
      <c r="M629" s="165"/>
    </row>
    <row r="630">
      <c r="I630" s="165"/>
      <c r="J630" s="165"/>
      <c r="K630" s="165"/>
      <c r="L630" s="165"/>
      <c r="M630" s="165"/>
    </row>
    <row r="631">
      <c r="I631" s="165"/>
      <c r="J631" s="165"/>
      <c r="K631" s="165"/>
      <c r="L631" s="165"/>
      <c r="M631" s="165"/>
    </row>
    <row r="632">
      <c r="I632" s="165"/>
      <c r="J632" s="165"/>
      <c r="K632" s="165"/>
      <c r="L632" s="165"/>
      <c r="M632" s="165"/>
    </row>
    <row r="633">
      <c r="I633" s="165"/>
      <c r="J633" s="165"/>
      <c r="K633" s="165"/>
      <c r="L633" s="165"/>
      <c r="M633" s="165"/>
    </row>
    <row r="634">
      <c r="I634" s="165"/>
      <c r="J634" s="165"/>
      <c r="K634" s="165"/>
      <c r="L634" s="165"/>
      <c r="M634" s="165"/>
    </row>
    <row r="635">
      <c r="I635" s="165"/>
      <c r="J635" s="165"/>
      <c r="K635" s="165"/>
      <c r="L635" s="165"/>
      <c r="M635" s="165"/>
    </row>
    <row r="636">
      <c r="I636" s="165"/>
      <c r="J636" s="165"/>
      <c r="K636" s="165"/>
      <c r="L636" s="165"/>
      <c r="M636" s="165"/>
    </row>
    <row r="637">
      <c r="I637" s="165"/>
      <c r="J637" s="165"/>
      <c r="K637" s="165"/>
      <c r="L637" s="165"/>
      <c r="M637" s="165"/>
    </row>
    <row r="638">
      <c r="I638" s="165"/>
      <c r="J638" s="165"/>
      <c r="K638" s="165"/>
      <c r="L638" s="165"/>
      <c r="M638" s="165"/>
    </row>
    <row r="639">
      <c r="I639" s="165"/>
      <c r="J639" s="165"/>
      <c r="K639" s="165"/>
      <c r="L639" s="165"/>
      <c r="M639" s="165"/>
    </row>
    <row r="640">
      <c r="I640" s="165"/>
      <c r="J640" s="165"/>
      <c r="K640" s="165"/>
      <c r="L640" s="165"/>
      <c r="M640" s="165"/>
    </row>
    <row r="641">
      <c r="I641" s="165"/>
      <c r="J641" s="165"/>
      <c r="K641" s="165"/>
      <c r="L641" s="165"/>
      <c r="M641" s="165"/>
    </row>
    <row r="642">
      <c r="I642" s="165"/>
      <c r="J642" s="165"/>
      <c r="K642" s="165"/>
      <c r="L642" s="165"/>
      <c r="M642" s="165"/>
    </row>
    <row r="643">
      <c r="I643" s="165"/>
      <c r="J643" s="165"/>
      <c r="K643" s="165"/>
      <c r="L643" s="165"/>
      <c r="M643" s="165"/>
    </row>
    <row r="644">
      <c r="I644" s="165"/>
      <c r="J644" s="165"/>
      <c r="K644" s="165"/>
      <c r="L644" s="165"/>
      <c r="M644" s="165"/>
    </row>
    <row r="645">
      <c r="I645" s="165"/>
      <c r="J645" s="165"/>
      <c r="K645" s="165"/>
      <c r="L645" s="165"/>
      <c r="M645" s="165"/>
    </row>
    <row r="646">
      <c r="I646" s="165"/>
      <c r="J646" s="165"/>
      <c r="K646" s="165"/>
      <c r="L646" s="165"/>
      <c r="M646" s="165"/>
    </row>
    <row r="647">
      <c r="I647" s="165"/>
      <c r="J647" s="165"/>
      <c r="K647" s="165"/>
      <c r="L647" s="165"/>
      <c r="M647" s="165"/>
    </row>
    <row r="648">
      <c r="I648" s="165"/>
      <c r="J648" s="165"/>
      <c r="K648" s="165"/>
      <c r="L648" s="165"/>
      <c r="M648" s="165"/>
    </row>
    <row r="649">
      <c r="I649" s="165"/>
      <c r="J649" s="165"/>
      <c r="K649" s="165"/>
      <c r="L649" s="165"/>
      <c r="M649" s="165"/>
    </row>
    <row r="650">
      <c r="I650" s="165"/>
      <c r="J650" s="165"/>
      <c r="K650" s="165"/>
      <c r="L650" s="165"/>
      <c r="M650" s="165"/>
    </row>
    <row r="651">
      <c r="I651" s="165"/>
      <c r="J651" s="165"/>
      <c r="K651" s="165"/>
      <c r="L651" s="165"/>
      <c r="M651" s="165"/>
    </row>
    <row r="652">
      <c r="I652" s="165"/>
      <c r="J652" s="165"/>
      <c r="K652" s="165"/>
      <c r="L652" s="165"/>
      <c r="M652" s="165"/>
    </row>
    <row r="653">
      <c r="I653" s="165"/>
      <c r="J653" s="165"/>
      <c r="K653" s="165"/>
      <c r="L653" s="165"/>
      <c r="M653" s="165"/>
    </row>
    <row r="654">
      <c r="I654" s="165"/>
      <c r="J654" s="165"/>
      <c r="K654" s="165"/>
      <c r="L654" s="165"/>
      <c r="M654" s="165"/>
    </row>
    <row r="655">
      <c r="I655" s="165"/>
      <c r="J655" s="165"/>
      <c r="K655" s="165"/>
      <c r="L655" s="165"/>
      <c r="M655" s="165"/>
    </row>
    <row r="656">
      <c r="I656" s="165"/>
      <c r="J656" s="165"/>
      <c r="K656" s="165"/>
      <c r="L656" s="165"/>
      <c r="M656" s="165"/>
    </row>
    <row r="657">
      <c r="I657" s="165"/>
      <c r="J657" s="165"/>
      <c r="K657" s="165"/>
      <c r="L657" s="165"/>
      <c r="M657" s="165"/>
    </row>
    <row r="658">
      <c r="I658" s="165"/>
      <c r="J658" s="165"/>
      <c r="K658" s="165"/>
      <c r="L658" s="165"/>
      <c r="M658" s="165"/>
    </row>
    <row r="659">
      <c r="I659" s="165"/>
      <c r="J659" s="165"/>
      <c r="K659" s="165"/>
      <c r="L659" s="165"/>
      <c r="M659" s="165"/>
    </row>
    <row r="660">
      <c r="I660" s="165"/>
      <c r="J660" s="165"/>
      <c r="K660" s="165"/>
      <c r="L660" s="165"/>
      <c r="M660" s="165"/>
    </row>
    <row r="661">
      <c r="I661" s="165"/>
      <c r="J661" s="165"/>
      <c r="K661" s="165"/>
      <c r="L661" s="165"/>
      <c r="M661" s="165"/>
    </row>
    <row r="662">
      <c r="I662" s="165"/>
      <c r="J662" s="165"/>
      <c r="K662" s="165"/>
      <c r="L662" s="165"/>
      <c r="M662" s="165"/>
    </row>
    <row r="663">
      <c r="I663" s="165"/>
      <c r="J663" s="165"/>
      <c r="K663" s="165"/>
      <c r="L663" s="165"/>
      <c r="M663" s="165"/>
    </row>
    <row r="664">
      <c r="I664" s="165"/>
      <c r="J664" s="165"/>
      <c r="K664" s="165"/>
      <c r="L664" s="165"/>
      <c r="M664" s="165"/>
    </row>
    <row r="665">
      <c r="I665" s="165"/>
      <c r="J665" s="165"/>
      <c r="K665" s="165"/>
      <c r="L665" s="165"/>
      <c r="M665" s="165"/>
    </row>
    <row r="666">
      <c r="I666" s="165"/>
      <c r="J666" s="165"/>
      <c r="K666" s="165"/>
      <c r="L666" s="165"/>
      <c r="M666" s="165"/>
    </row>
    <row r="667">
      <c r="I667" s="165"/>
      <c r="J667" s="165"/>
      <c r="K667" s="165"/>
      <c r="L667" s="165"/>
      <c r="M667" s="165"/>
    </row>
    <row r="668">
      <c r="I668" s="165"/>
      <c r="J668" s="165"/>
      <c r="K668" s="165"/>
      <c r="L668" s="165"/>
      <c r="M668" s="165"/>
    </row>
    <row r="669">
      <c r="I669" s="165"/>
      <c r="J669" s="165"/>
      <c r="K669" s="165"/>
      <c r="L669" s="165"/>
      <c r="M669" s="165"/>
    </row>
    <row r="670">
      <c r="I670" s="165"/>
      <c r="J670" s="165"/>
      <c r="K670" s="165"/>
      <c r="L670" s="165"/>
      <c r="M670" s="165"/>
    </row>
    <row r="671">
      <c r="I671" s="165"/>
      <c r="J671" s="165"/>
      <c r="K671" s="165"/>
      <c r="L671" s="165"/>
      <c r="M671" s="165"/>
    </row>
    <row r="672">
      <c r="I672" s="165"/>
      <c r="J672" s="165"/>
      <c r="K672" s="165"/>
      <c r="L672" s="165"/>
      <c r="M672" s="165"/>
    </row>
    <row r="673">
      <c r="I673" s="165"/>
      <c r="J673" s="165"/>
      <c r="K673" s="165"/>
      <c r="L673" s="165"/>
      <c r="M673" s="165"/>
    </row>
    <row r="674">
      <c r="I674" s="165"/>
      <c r="J674" s="165"/>
      <c r="K674" s="165"/>
      <c r="L674" s="165"/>
      <c r="M674" s="165"/>
    </row>
    <row r="675">
      <c r="I675" s="165"/>
      <c r="J675" s="165"/>
      <c r="K675" s="165"/>
      <c r="L675" s="165"/>
      <c r="M675" s="165"/>
    </row>
    <row r="676">
      <c r="I676" s="165"/>
      <c r="J676" s="165"/>
      <c r="K676" s="165"/>
      <c r="L676" s="165"/>
      <c r="M676" s="165"/>
    </row>
    <row r="677">
      <c r="I677" s="165"/>
      <c r="J677" s="165"/>
      <c r="K677" s="165"/>
      <c r="L677" s="165"/>
      <c r="M677" s="165"/>
    </row>
    <row r="678">
      <c r="I678" s="165"/>
      <c r="J678" s="165"/>
      <c r="K678" s="165"/>
      <c r="L678" s="165"/>
      <c r="M678" s="165"/>
    </row>
    <row r="679">
      <c r="I679" s="165"/>
      <c r="J679" s="165"/>
      <c r="K679" s="165"/>
      <c r="L679" s="165"/>
      <c r="M679" s="165"/>
    </row>
    <row r="680">
      <c r="I680" s="165"/>
      <c r="J680" s="165"/>
      <c r="K680" s="165"/>
      <c r="L680" s="165"/>
      <c r="M680" s="165"/>
    </row>
    <row r="681">
      <c r="I681" s="165"/>
      <c r="J681" s="165"/>
      <c r="K681" s="165"/>
      <c r="L681" s="165"/>
      <c r="M681" s="165"/>
    </row>
    <row r="682">
      <c r="I682" s="165"/>
      <c r="J682" s="165"/>
      <c r="K682" s="165"/>
      <c r="L682" s="165"/>
      <c r="M682" s="165"/>
    </row>
    <row r="683">
      <c r="I683" s="165"/>
      <c r="J683" s="165"/>
      <c r="K683" s="165"/>
      <c r="L683" s="165"/>
      <c r="M683" s="165"/>
    </row>
    <row r="684">
      <c r="I684" s="165"/>
      <c r="J684" s="165"/>
      <c r="K684" s="165"/>
      <c r="L684" s="165"/>
      <c r="M684" s="165"/>
    </row>
    <row r="685">
      <c r="I685" s="165"/>
      <c r="J685" s="165"/>
      <c r="K685" s="165"/>
      <c r="L685" s="165"/>
      <c r="M685" s="165"/>
    </row>
    <row r="686">
      <c r="I686" s="165"/>
      <c r="J686" s="165"/>
      <c r="K686" s="165"/>
      <c r="L686" s="165"/>
      <c r="M686" s="165"/>
    </row>
    <row r="687">
      <c r="I687" s="165"/>
      <c r="J687" s="165"/>
      <c r="K687" s="165"/>
      <c r="L687" s="165"/>
      <c r="M687" s="165"/>
    </row>
    <row r="688">
      <c r="I688" s="165"/>
      <c r="J688" s="165"/>
      <c r="K688" s="165"/>
      <c r="L688" s="165"/>
      <c r="M688" s="165"/>
    </row>
    <row r="689">
      <c r="I689" s="165"/>
      <c r="J689" s="165"/>
      <c r="K689" s="165"/>
      <c r="L689" s="165"/>
      <c r="M689" s="165"/>
    </row>
    <row r="690">
      <c r="I690" s="165"/>
      <c r="J690" s="165"/>
      <c r="K690" s="165"/>
      <c r="L690" s="165"/>
      <c r="M690" s="165"/>
    </row>
    <row r="691">
      <c r="I691" s="165"/>
      <c r="J691" s="165"/>
      <c r="K691" s="165"/>
      <c r="L691" s="165"/>
      <c r="M691" s="165"/>
    </row>
    <row r="692">
      <c r="I692" s="165"/>
      <c r="J692" s="165"/>
      <c r="K692" s="165"/>
      <c r="L692" s="165"/>
      <c r="M692" s="165"/>
    </row>
    <row r="693">
      <c r="I693" s="165"/>
      <c r="J693" s="165"/>
      <c r="K693" s="165"/>
      <c r="L693" s="165"/>
      <c r="M693" s="165"/>
    </row>
    <row r="694">
      <c r="I694" s="165"/>
      <c r="J694" s="165"/>
      <c r="K694" s="165"/>
      <c r="L694" s="165"/>
      <c r="M694" s="165"/>
    </row>
    <row r="695">
      <c r="I695" s="165"/>
      <c r="J695" s="165"/>
      <c r="K695" s="165"/>
      <c r="L695" s="165"/>
      <c r="M695" s="165"/>
    </row>
    <row r="696">
      <c r="I696" s="165"/>
      <c r="J696" s="165"/>
      <c r="K696" s="165"/>
      <c r="L696" s="165"/>
      <c r="M696" s="165"/>
    </row>
    <row r="697">
      <c r="I697" s="165"/>
      <c r="J697" s="165"/>
      <c r="K697" s="165"/>
      <c r="L697" s="165"/>
      <c r="M697" s="165"/>
    </row>
    <row r="698">
      <c r="I698" s="165"/>
      <c r="J698" s="165"/>
      <c r="K698" s="165"/>
      <c r="L698" s="165"/>
      <c r="M698" s="165"/>
    </row>
    <row r="699">
      <c r="I699" s="165"/>
      <c r="J699" s="165"/>
      <c r="K699" s="165"/>
      <c r="L699" s="165"/>
      <c r="M699" s="165"/>
    </row>
    <row r="700">
      <c r="I700" s="165"/>
      <c r="J700" s="165"/>
      <c r="K700" s="165"/>
      <c r="L700" s="165"/>
      <c r="M700" s="165"/>
    </row>
    <row r="701">
      <c r="I701" s="165"/>
      <c r="J701" s="165"/>
      <c r="K701" s="165"/>
      <c r="L701" s="165"/>
      <c r="M701" s="165"/>
    </row>
    <row r="702">
      <c r="I702" s="165"/>
      <c r="J702" s="165"/>
      <c r="K702" s="165"/>
      <c r="L702" s="165"/>
      <c r="M702" s="165"/>
    </row>
    <row r="703">
      <c r="I703" s="165"/>
      <c r="J703" s="165"/>
      <c r="K703" s="165"/>
      <c r="L703" s="165"/>
      <c r="M703" s="165"/>
    </row>
    <row r="704">
      <c r="I704" s="165"/>
      <c r="J704" s="165"/>
      <c r="K704" s="165"/>
      <c r="L704" s="165"/>
      <c r="M704" s="165"/>
    </row>
    <row r="705">
      <c r="I705" s="165"/>
      <c r="J705" s="165"/>
      <c r="K705" s="165"/>
      <c r="L705" s="165"/>
      <c r="M705" s="165"/>
    </row>
    <row r="706">
      <c r="I706" s="165"/>
      <c r="J706" s="165"/>
      <c r="K706" s="165"/>
      <c r="L706" s="165"/>
      <c r="M706" s="165"/>
    </row>
    <row r="707">
      <c r="I707" s="165"/>
      <c r="J707" s="165"/>
      <c r="K707" s="165"/>
      <c r="L707" s="165"/>
      <c r="M707" s="165"/>
    </row>
    <row r="708">
      <c r="I708" s="165"/>
      <c r="J708" s="165"/>
      <c r="K708" s="165"/>
      <c r="L708" s="165"/>
      <c r="M708" s="165"/>
    </row>
    <row r="709">
      <c r="I709" s="165"/>
      <c r="J709" s="165"/>
      <c r="K709" s="165"/>
      <c r="L709" s="165"/>
      <c r="M709" s="165"/>
    </row>
    <row r="710">
      <c r="I710" s="165"/>
      <c r="J710" s="165"/>
      <c r="K710" s="165"/>
      <c r="L710" s="165"/>
      <c r="M710" s="165"/>
    </row>
    <row r="711">
      <c r="I711" s="165"/>
      <c r="J711" s="165"/>
      <c r="K711" s="165"/>
      <c r="L711" s="165"/>
      <c r="M711" s="165"/>
    </row>
    <row r="712">
      <c r="I712" s="165"/>
      <c r="J712" s="165"/>
      <c r="K712" s="165"/>
      <c r="L712" s="165"/>
      <c r="M712" s="165"/>
    </row>
    <row r="713">
      <c r="I713" s="165"/>
      <c r="J713" s="165"/>
      <c r="K713" s="165"/>
      <c r="L713" s="165"/>
      <c r="M713" s="165"/>
    </row>
    <row r="714">
      <c r="I714" s="165"/>
      <c r="J714" s="165"/>
      <c r="K714" s="165"/>
      <c r="L714" s="165"/>
      <c r="M714" s="165"/>
    </row>
    <row r="715">
      <c r="I715" s="165"/>
      <c r="J715" s="165"/>
      <c r="K715" s="165"/>
      <c r="L715" s="165"/>
      <c r="M715" s="165"/>
    </row>
    <row r="716">
      <c r="I716" s="165"/>
      <c r="J716" s="165"/>
      <c r="K716" s="165"/>
      <c r="L716" s="165"/>
      <c r="M716" s="165"/>
    </row>
    <row r="717">
      <c r="I717" s="165"/>
      <c r="J717" s="165"/>
      <c r="K717" s="165"/>
      <c r="L717" s="165"/>
      <c r="M717" s="165"/>
    </row>
    <row r="718">
      <c r="I718" s="165"/>
      <c r="J718" s="165"/>
      <c r="K718" s="165"/>
      <c r="L718" s="165"/>
      <c r="M718" s="165"/>
    </row>
    <row r="719">
      <c r="I719" s="165"/>
      <c r="J719" s="165"/>
      <c r="K719" s="165"/>
      <c r="L719" s="165"/>
      <c r="M719" s="165"/>
    </row>
    <row r="720">
      <c r="I720" s="165"/>
      <c r="J720" s="165"/>
      <c r="K720" s="165"/>
      <c r="L720" s="165"/>
      <c r="M720" s="165"/>
    </row>
    <row r="721">
      <c r="I721" s="165"/>
      <c r="J721" s="165"/>
      <c r="K721" s="165"/>
      <c r="L721" s="165"/>
      <c r="M721" s="165"/>
    </row>
    <row r="722">
      <c r="I722" s="165"/>
      <c r="J722" s="165"/>
      <c r="K722" s="165"/>
      <c r="L722" s="165"/>
      <c r="M722" s="165"/>
    </row>
    <row r="723">
      <c r="I723" s="165"/>
      <c r="J723" s="165"/>
      <c r="K723" s="165"/>
      <c r="L723" s="165"/>
      <c r="M723" s="165"/>
    </row>
    <row r="724">
      <c r="I724" s="165"/>
      <c r="J724" s="165"/>
      <c r="K724" s="165"/>
      <c r="L724" s="165"/>
      <c r="M724" s="165"/>
    </row>
    <row r="725">
      <c r="I725" s="165"/>
      <c r="J725" s="165"/>
      <c r="K725" s="165"/>
      <c r="L725" s="165"/>
      <c r="M725" s="165"/>
    </row>
    <row r="726">
      <c r="I726" s="165"/>
      <c r="J726" s="165"/>
      <c r="K726" s="165"/>
      <c r="L726" s="165"/>
      <c r="M726" s="165"/>
    </row>
    <row r="727">
      <c r="I727" s="165"/>
      <c r="J727" s="165"/>
      <c r="K727" s="165"/>
      <c r="L727" s="165"/>
      <c r="M727" s="165"/>
    </row>
    <row r="728">
      <c r="I728" s="165"/>
      <c r="J728" s="165"/>
      <c r="K728" s="165"/>
      <c r="L728" s="165"/>
      <c r="M728" s="165"/>
    </row>
    <row r="729">
      <c r="I729" s="165"/>
      <c r="J729" s="165"/>
      <c r="K729" s="165"/>
      <c r="L729" s="165"/>
      <c r="M729" s="165"/>
    </row>
    <row r="730">
      <c r="I730" s="165"/>
      <c r="J730" s="165"/>
      <c r="K730" s="165"/>
      <c r="L730" s="165"/>
      <c r="M730" s="165"/>
    </row>
    <row r="731">
      <c r="I731" s="165"/>
      <c r="J731" s="165"/>
      <c r="K731" s="165"/>
      <c r="L731" s="165"/>
      <c r="M731" s="165"/>
    </row>
    <row r="732">
      <c r="I732" s="165"/>
      <c r="J732" s="165"/>
      <c r="K732" s="165"/>
      <c r="L732" s="165"/>
      <c r="M732" s="165"/>
    </row>
    <row r="733">
      <c r="I733" s="165"/>
      <c r="J733" s="165"/>
      <c r="K733" s="165"/>
      <c r="L733" s="165"/>
      <c r="M733" s="165"/>
    </row>
    <row r="734">
      <c r="I734" s="165"/>
      <c r="J734" s="165"/>
      <c r="K734" s="165"/>
      <c r="L734" s="165"/>
      <c r="M734" s="165"/>
    </row>
    <row r="735">
      <c r="I735" s="165"/>
      <c r="J735" s="165"/>
      <c r="K735" s="165"/>
      <c r="L735" s="165"/>
      <c r="M735" s="165"/>
    </row>
    <row r="736">
      <c r="I736" s="165"/>
      <c r="J736" s="165"/>
      <c r="K736" s="165"/>
      <c r="L736" s="165"/>
      <c r="M736" s="165"/>
    </row>
    <row r="737">
      <c r="I737" s="165"/>
      <c r="J737" s="165"/>
      <c r="K737" s="165"/>
      <c r="L737" s="165"/>
      <c r="M737" s="165"/>
    </row>
    <row r="738">
      <c r="I738" s="165"/>
      <c r="J738" s="165"/>
      <c r="K738" s="165"/>
      <c r="L738" s="165"/>
      <c r="M738" s="165"/>
    </row>
    <row r="739">
      <c r="I739" s="165"/>
      <c r="J739" s="165"/>
      <c r="K739" s="165"/>
      <c r="L739" s="165"/>
      <c r="M739" s="165"/>
    </row>
    <row r="740">
      <c r="I740" s="165"/>
      <c r="J740" s="165"/>
      <c r="K740" s="165"/>
      <c r="L740" s="165"/>
      <c r="M740" s="165"/>
    </row>
    <row r="741">
      <c r="I741" s="165"/>
      <c r="J741" s="165"/>
      <c r="K741" s="165"/>
      <c r="L741" s="165"/>
      <c r="M741" s="165"/>
    </row>
    <row r="742">
      <c r="I742" s="165"/>
      <c r="J742" s="165"/>
      <c r="K742" s="165"/>
      <c r="L742" s="165"/>
      <c r="M742" s="165"/>
    </row>
    <row r="743">
      <c r="I743" s="165"/>
      <c r="J743" s="165"/>
      <c r="K743" s="165"/>
      <c r="L743" s="165"/>
      <c r="M743" s="165"/>
    </row>
    <row r="744">
      <c r="I744" s="165"/>
      <c r="J744" s="165"/>
      <c r="K744" s="165"/>
      <c r="L744" s="165"/>
      <c r="M744" s="165"/>
    </row>
    <row r="745">
      <c r="I745" s="165"/>
      <c r="J745" s="165"/>
      <c r="K745" s="165"/>
      <c r="L745" s="165"/>
      <c r="M745" s="165"/>
    </row>
    <row r="746">
      <c r="I746" s="165"/>
      <c r="J746" s="165"/>
      <c r="K746" s="165"/>
      <c r="L746" s="165"/>
      <c r="M746" s="165"/>
    </row>
    <row r="747">
      <c r="I747" s="165"/>
      <c r="J747" s="165"/>
      <c r="K747" s="165"/>
      <c r="L747" s="165"/>
      <c r="M747" s="165"/>
    </row>
    <row r="748">
      <c r="I748" s="165"/>
      <c r="J748" s="165"/>
      <c r="K748" s="165"/>
      <c r="L748" s="165"/>
      <c r="M748" s="165"/>
    </row>
    <row r="749">
      <c r="I749" s="165"/>
      <c r="J749" s="165"/>
      <c r="K749" s="165"/>
      <c r="L749" s="165"/>
      <c r="M749" s="165"/>
    </row>
    <row r="750">
      <c r="I750" s="165"/>
      <c r="J750" s="165"/>
      <c r="K750" s="165"/>
      <c r="L750" s="165"/>
      <c r="M750" s="165"/>
    </row>
    <row r="751">
      <c r="I751" s="165"/>
      <c r="J751" s="165"/>
      <c r="K751" s="165"/>
      <c r="L751" s="165"/>
      <c r="M751" s="165"/>
    </row>
    <row r="752">
      <c r="I752" s="165"/>
      <c r="J752" s="165"/>
      <c r="K752" s="165"/>
      <c r="L752" s="165"/>
      <c r="M752" s="165"/>
    </row>
    <row r="753">
      <c r="I753" s="165"/>
      <c r="J753" s="165"/>
      <c r="K753" s="165"/>
      <c r="L753" s="165"/>
      <c r="M753" s="165"/>
    </row>
    <row r="754">
      <c r="I754" s="165"/>
      <c r="J754" s="165"/>
      <c r="K754" s="165"/>
      <c r="L754" s="165"/>
      <c r="M754" s="165"/>
    </row>
    <row r="755">
      <c r="I755" s="165"/>
      <c r="J755" s="165"/>
      <c r="K755" s="165"/>
      <c r="L755" s="165"/>
      <c r="M755" s="165"/>
    </row>
    <row r="756">
      <c r="I756" s="165"/>
      <c r="J756" s="165"/>
      <c r="K756" s="165"/>
      <c r="L756" s="165"/>
      <c r="M756" s="165"/>
    </row>
    <row r="757">
      <c r="I757" s="165"/>
      <c r="J757" s="165"/>
      <c r="K757" s="165"/>
      <c r="L757" s="165"/>
      <c r="M757" s="165"/>
    </row>
    <row r="758">
      <c r="I758" s="165"/>
      <c r="J758" s="165"/>
      <c r="K758" s="165"/>
      <c r="L758" s="165"/>
      <c r="M758" s="165"/>
    </row>
    <row r="759">
      <c r="I759" s="165"/>
      <c r="J759" s="165"/>
      <c r="K759" s="165"/>
      <c r="L759" s="165"/>
      <c r="M759" s="165"/>
    </row>
    <row r="760">
      <c r="I760" s="165"/>
      <c r="J760" s="165"/>
      <c r="K760" s="165"/>
      <c r="L760" s="165"/>
      <c r="M760" s="165"/>
    </row>
    <row r="761">
      <c r="I761" s="165"/>
      <c r="J761" s="165"/>
      <c r="K761" s="165"/>
      <c r="L761" s="165"/>
      <c r="M761" s="165"/>
    </row>
    <row r="762">
      <c r="I762" s="165"/>
      <c r="J762" s="165"/>
      <c r="K762" s="165"/>
      <c r="L762" s="165"/>
      <c r="M762" s="165"/>
    </row>
    <row r="763">
      <c r="I763" s="165"/>
      <c r="J763" s="165"/>
      <c r="K763" s="165"/>
      <c r="L763" s="165"/>
      <c r="M763" s="165"/>
    </row>
    <row r="764">
      <c r="I764" s="165"/>
      <c r="J764" s="165"/>
      <c r="K764" s="165"/>
      <c r="L764" s="165"/>
      <c r="M764" s="165"/>
    </row>
    <row r="765">
      <c r="I765" s="165"/>
      <c r="J765" s="165"/>
      <c r="K765" s="165"/>
      <c r="L765" s="165"/>
      <c r="M765" s="165"/>
    </row>
    <row r="766">
      <c r="I766" s="165"/>
      <c r="J766" s="165"/>
      <c r="K766" s="165"/>
      <c r="L766" s="165"/>
      <c r="M766" s="165"/>
    </row>
    <row r="767">
      <c r="I767" s="165"/>
      <c r="J767" s="165"/>
      <c r="K767" s="165"/>
      <c r="L767" s="165"/>
      <c r="M767" s="165"/>
    </row>
    <row r="768">
      <c r="I768" s="165"/>
      <c r="J768" s="165"/>
      <c r="K768" s="165"/>
      <c r="L768" s="165"/>
      <c r="M768" s="165"/>
    </row>
    <row r="769">
      <c r="I769" s="165"/>
      <c r="J769" s="165"/>
      <c r="K769" s="165"/>
      <c r="L769" s="165"/>
      <c r="M769" s="165"/>
    </row>
    <row r="770">
      <c r="I770" s="165"/>
      <c r="J770" s="165"/>
      <c r="K770" s="165"/>
      <c r="L770" s="165"/>
      <c r="M770" s="165"/>
    </row>
    <row r="771">
      <c r="I771" s="165"/>
      <c r="J771" s="165"/>
      <c r="K771" s="165"/>
      <c r="L771" s="165"/>
      <c r="M771" s="165"/>
    </row>
    <row r="772">
      <c r="I772" s="165"/>
      <c r="J772" s="165"/>
      <c r="K772" s="165"/>
      <c r="L772" s="165"/>
      <c r="M772" s="165"/>
    </row>
    <row r="773">
      <c r="I773" s="165"/>
      <c r="J773" s="165"/>
      <c r="K773" s="165"/>
      <c r="L773" s="165"/>
      <c r="M773" s="165"/>
    </row>
    <row r="774">
      <c r="I774" s="165"/>
      <c r="J774" s="165"/>
      <c r="K774" s="165"/>
      <c r="L774" s="165"/>
      <c r="M774" s="165"/>
    </row>
    <row r="775">
      <c r="I775" s="165"/>
      <c r="J775" s="165"/>
      <c r="K775" s="165"/>
      <c r="L775" s="165"/>
      <c r="M775" s="165"/>
    </row>
    <row r="776">
      <c r="I776" s="165"/>
      <c r="J776" s="165"/>
      <c r="K776" s="165"/>
      <c r="L776" s="165"/>
      <c r="M776" s="165"/>
    </row>
    <row r="777">
      <c r="I777" s="165"/>
      <c r="J777" s="165"/>
      <c r="K777" s="165"/>
      <c r="L777" s="165"/>
      <c r="M777" s="165"/>
    </row>
    <row r="778">
      <c r="I778" s="165"/>
      <c r="J778" s="165"/>
      <c r="K778" s="165"/>
      <c r="L778" s="165"/>
      <c r="M778" s="165"/>
    </row>
    <row r="779">
      <c r="I779" s="165"/>
      <c r="J779" s="165"/>
      <c r="K779" s="165"/>
      <c r="L779" s="165"/>
      <c r="M779" s="165"/>
    </row>
    <row r="780">
      <c r="I780" s="165"/>
      <c r="J780" s="165"/>
      <c r="K780" s="165"/>
      <c r="L780" s="165"/>
      <c r="M780" s="165"/>
    </row>
    <row r="781">
      <c r="I781" s="165"/>
      <c r="J781" s="165"/>
      <c r="K781" s="165"/>
      <c r="L781" s="165"/>
      <c r="M781" s="165"/>
    </row>
    <row r="782">
      <c r="I782" s="165"/>
      <c r="J782" s="165"/>
      <c r="K782" s="165"/>
      <c r="L782" s="165"/>
      <c r="M782" s="165"/>
    </row>
    <row r="783">
      <c r="I783" s="165"/>
      <c r="J783" s="165"/>
      <c r="K783" s="165"/>
      <c r="L783" s="165"/>
      <c r="M783" s="165"/>
    </row>
    <row r="784">
      <c r="I784" s="165"/>
      <c r="J784" s="165"/>
      <c r="K784" s="165"/>
      <c r="L784" s="165"/>
      <c r="M784" s="165"/>
    </row>
    <row r="785">
      <c r="I785" s="165"/>
      <c r="J785" s="165"/>
      <c r="K785" s="165"/>
      <c r="L785" s="165"/>
      <c r="M785" s="165"/>
    </row>
    <row r="786">
      <c r="I786" s="165"/>
      <c r="J786" s="165"/>
      <c r="K786" s="165"/>
      <c r="L786" s="165"/>
      <c r="M786" s="165"/>
    </row>
    <row r="787">
      <c r="I787" s="165"/>
      <c r="J787" s="165"/>
      <c r="K787" s="165"/>
      <c r="L787" s="165"/>
      <c r="M787" s="165"/>
    </row>
    <row r="788">
      <c r="I788" s="165"/>
      <c r="J788" s="165"/>
      <c r="K788" s="165"/>
      <c r="L788" s="165"/>
      <c r="M788" s="165"/>
    </row>
    <row r="789">
      <c r="I789" s="165"/>
      <c r="J789" s="165"/>
      <c r="K789" s="165"/>
      <c r="L789" s="165"/>
      <c r="M789" s="165"/>
    </row>
    <row r="790">
      <c r="I790" s="165"/>
      <c r="J790" s="165"/>
      <c r="K790" s="165"/>
      <c r="L790" s="165"/>
      <c r="M790" s="165"/>
    </row>
    <row r="791">
      <c r="I791" s="165"/>
      <c r="J791" s="165"/>
      <c r="K791" s="165"/>
      <c r="L791" s="165"/>
      <c r="M791" s="165"/>
    </row>
    <row r="792">
      <c r="I792" s="165"/>
      <c r="J792" s="165"/>
      <c r="K792" s="165"/>
      <c r="L792" s="165"/>
      <c r="M792" s="165"/>
    </row>
    <row r="793">
      <c r="I793" s="165"/>
      <c r="J793" s="165"/>
      <c r="K793" s="165"/>
      <c r="L793" s="165"/>
      <c r="M793" s="165"/>
    </row>
    <row r="794">
      <c r="I794" s="165"/>
      <c r="J794" s="165"/>
      <c r="K794" s="165"/>
      <c r="L794" s="165"/>
      <c r="M794" s="165"/>
    </row>
    <row r="795">
      <c r="I795" s="165"/>
      <c r="J795" s="165"/>
      <c r="K795" s="165"/>
      <c r="L795" s="165"/>
      <c r="M795" s="165"/>
    </row>
    <row r="796">
      <c r="I796" s="165"/>
      <c r="J796" s="165"/>
      <c r="K796" s="165"/>
      <c r="L796" s="165"/>
      <c r="M796" s="165"/>
    </row>
    <row r="797">
      <c r="I797" s="165"/>
      <c r="J797" s="165"/>
      <c r="K797" s="165"/>
      <c r="L797" s="165"/>
      <c r="M797" s="165"/>
    </row>
    <row r="798">
      <c r="I798" s="165"/>
      <c r="J798" s="165"/>
      <c r="K798" s="165"/>
      <c r="L798" s="165"/>
      <c r="M798" s="165"/>
    </row>
    <row r="799">
      <c r="I799" s="165"/>
      <c r="J799" s="165"/>
      <c r="K799" s="165"/>
      <c r="L799" s="165"/>
      <c r="M799" s="165"/>
    </row>
    <row r="800">
      <c r="I800" s="165"/>
      <c r="J800" s="165"/>
      <c r="K800" s="165"/>
      <c r="L800" s="165"/>
      <c r="M800" s="165"/>
    </row>
    <row r="801">
      <c r="I801" s="165"/>
      <c r="J801" s="165"/>
      <c r="K801" s="165"/>
      <c r="L801" s="165"/>
      <c r="M801" s="165"/>
    </row>
    <row r="802">
      <c r="I802" s="165"/>
      <c r="J802" s="165"/>
      <c r="K802" s="165"/>
      <c r="L802" s="165"/>
      <c r="M802" s="165"/>
    </row>
    <row r="803">
      <c r="I803" s="165"/>
      <c r="J803" s="165"/>
      <c r="K803" s="165"/>
      <c r="L803" s="165"/>
      <c r="M803" s="165"/>
    </row>
    <row r="804">
      <c r="I804" s="165"/>
      <c r="J804" s="165"/>
      <c r="K804" s="165"/>
      <c r="L804" s="165"/>
      <c r="M804" s="165"/>
    </row>
    <row r="805">
      <c r="I805" s="165"/>
      <c r="J805" s="165"/>
      <c r="K805" s="165"/>
      <c r="L805" s="165"/>
      <c r="M805" s="165"/>
    </row>
    <row r="806">
      <c r="I806" s="165"/>
      <c r="J806" s="165"/>
      <c r="K806" s="165"/>
      <c r="L806" s="165"/>
      <c r="M806" s="165"/>
    </row>
    <row r="807">
      <c r="I807" s="165"/>
      <c r="J807" s="165"/>
      <c r="K807" s="165"/>
      <c r="L807" s="165"/>
      <c r="M807" s="165"/>
    </row>
    <row r="808">
      <c r="I808" s="165"/>
      <c r="J808" s="165"/>
      <c r="K808" s="165"/>
      <c r="L808" s="165"/>
      <c r="M808" s="165"/>
    </row>
    <row r="809">
      <c r="I809" s="165"/>
      <c r="J809" s="165"/>
      <c r="K809" s="165"/>
      <c r="L809" s="165"/>
      <c r="M809" s="165"/>
    </row>
    <row r="810">
      <c r="I810" s="165"/>
      <c r="J810" s="165"/>
      <c r="K810" s="165"/>
      <c r="L810" s="165"/>
      <c r="M810" s="165"/>
    </row>
    <row r="811">
      <c r="I811" s="165"/>
      <c r="J811" s="165"/>
      <c r="K811" s="165"/>
      <c r="L811" s="165"/>
      <c r="M811" s="165"/>
    </row>
    <row r="812">
      <c r="I812" s="165"/>
      <c r="J812" s="165"/>
      <c r="K812" s="165"/>
      <c r="L812" s="165"/>
      <c r="M812" s="165"/>
    </row>
    <row r="813">
      <c r="I813" s="165"/>
      <c r="J813" s="165"/>
      <c r="K813" s="165"/>
      <c r="L813" s="165"/>
      <c r="M813" s="165"/>
    </row>
    <row r="814">
      <c r="I814" s="165"/>
      <c r="J814" s="165"/>
      <c r="K814" s="165"/>
      <c r="L814" s="165"/>
      <c r="M814" s="165"/>
    </row>
    <row r="815">
      <c r="I815" s="165"/>
      <c r="J815" s="165"/>
      <c r="K815" s="165"/>
      <c r="L815" s="165"/>
      <c r="M815" s="165"/>
    </row>
    <row r="816">
      <c r="I816" s="165"/>
      <c r="J816" s="165"/>
      <c r="K816" s="165"/>
      <c r="L816" s="165"/>
      <c r="M816" s="165"/>
    </row>
    <row r="817">
      <c r="I817" s="165"/>
      <c r="J817" s="165"/>
      <c r="K817" s="165"/>
      <c r="L817" s="165"/>
      <c r="M817" s="165"/>
    </row>
    <row r="818">
      <c r="I818" s="165"/>
      <c r="J818" s="165"/>
      <c r="K818" s="165"/>
      <c r="L818" s="165"/>
      <c r="M818" s="165"/>
    </row>
    <row r="819">
      <c r="I819" s="165"/>
      <c r="J819" s="165"/>
      <c r="K819" s="165"/>
      <c r="L819" s="165"/>
      <c r="M819" s="165"/>
    </row>
    <row r="820">
      <c r="I820" s="165"/>
      <c r="J820" s="165"/>
      <c r="K820" s="165"/>
      <c r="L820" s="165"/>
      <c r="M820" s="165"/>
    </row>
    <row r="821">
      <c r="I821" s="165"/>
      <c r="J821" s="165"/>
      <c r="K821" s="165"/>
      <c r="L821" s="165"/>
      <c r="M821" s="165"/>
    </row>
    <row r="822">
      <c r="I822" s="165"/>
      <c r="J822" s="165"/>
      <c r="K822" s="165"/>
      <c r="L822" s="165"/>
      <c r="M822" s="165"/>
    </row>
    <row r="823">
      <c r="I823" s="165"/>
      <c r="J823" s="165"/>
      <c r="K823" s="165"/>
      <c r="L823" s="165"/>
      <c r="M823" s="165"/>
    </row>
    <row r="824">
      <c r="I824" s="165"/>
      <c r="J824" s="165"/>
      <c r="K824" s="165"/>
      <c r="L824" s="165"/>
      <c r="M824" s="165"/>
    </row>
    <row r="825">
      <c r="I825" s="165"/>
      <c r="J825" s="165"/>
      <c r="K825" s="165"/>
      <c r="L825" s="165"/>
      <c r="M825" s="165"/>
    </row>
    <row r="826">
      <c r="I826" s="165"/>
      <c r="J826" s="165"/>
      <c r="K826" s="165"/>
      <c r="L826" s="165"/>
      <c r="M826" s="165"/>
    </row>
    <row r="827">
      <c r="I827" s="165"/>
      <c r="J827" s="165"/>
      <c r="K827" s="165"/>
      <c r="L827" s="165"/>
      <c r="M827" s="165"/>
    </row>
    <row r="828">
      <c r="I828" s="165"/>
      <c r="J828" s="165"/>
      <c r="K828" s="165"/>
      <c r="L828" s="165"/>
      <c r="M828" s="165"/>
    </row>
    <row r="829">
      <c r="I829" s="165"/>
      <c r="J829" s="165"/>
      <c r="K829" s="165"/>
      <c r="L829" s="165"/>
      <c r="M829" s="165"/>
    </row>
    <row r="830">
      <c r="I830" s="165"/>
      <c r="J830" s="165"/>
      <c r="K830" s="165"/>
      <c r="L830" s="165"/>
      <c r="M830" s="165"/>
    </row>
    <row r="831">
      <c r="I831" s="165"/>
      <c r="J831" s="165"/>
      <c r="K831" s="165"/>
      <c r="L831" s="165"/>
      <c r="M831" s="165"/>
    </row>
    <row r="832">
      <c r="I832" s="165"/>
      <c r="J832" s="165"/>
      <c r="K832" s="165"/>
      <c r="L832" s="165"/>
      <c r="M832" s="165"/>
    </row>
    <row r="833">
      <c r="I833" s="165"/>
      <c r="J833" s="165"/>
      <c r="K833" s="165"/>
      <c r="L833" s="165"/>
      <c r="M833" s="165"/>
    </row>
    <row r="834">
      <c r="I834" s="165"/>
      <c r="J834" s="165"/>
      <c r="K834" s="165"/>
      <c r="L834" s="165"/>
      <c r="M834" s="165"/>
    </row>
    <row r="835">
      <c r="I835" s="165"/>
      <c r="J835" s="165"/>
      <c r="K835" s="165"/>
      <c r="L835" s="165"/>
      <c r="M835" s="165"/>
    </row>
    <row r="836">
      <c r="I836" s="165"/>
      <c r="J836" s="165"/>
      <c r="K836" s="165"/>
      <c r="L836" s="165"/>
      <c r="M836" s="165"/>
    </row>
    <row r="837">
      <c r="I837" s="165"/>
      <c r="J837" s="165"/>
      <c r="K837" s="165"/>
      <c r="L837" s="165"/>
      <c r="M837" s="165"/>
    </row>
    <row r="838">
      <c r="I838" s="165"/>
      <c r="J838" s="165"/>
      <c r="K838" s="165"/>
      <c r="L838" s="165"/>
      <c r="M838" s="165"/>
    </row>
    <row r="839">
      <c r="I839" s="165"/>
      <c r="J839" s="165"/>
      <c r="K839" s="165"/>
      <c r="L839" s="165"/>
      <c r="M839" s="165"/>
    </row>
    <row r="840">
      <c r="I840" s="165"/>
      <c r="J840" s="165"/>
      <c r="K840" s="165"/>
      <c r="L840" s="165"/>
      <c r="M840" s="165"/>
    </row>
    <row r="841">
      <c r="I841" s="165"/>
      <c r="J841" s="165"/>
      <c r="K841" s="165"/>
      <c r="L841" s="165"/>
      <c r="M841" s="165"/>
    </row>
    <row r="842">
      <c r="I842" s="165"/>
      <c r="J842" s="165"/>
      <c r="K842" s="165"/>
      <c r="L842" s="165"/>
      <c r="M842" s="165"/>
    </row>
    <row r="843">
      <c r="I843" s="165"/>
      <c r="J843" s="165"/>
      <c r="K843" s="165"/>
      <c r="L843" s="165"/>
      <c r="M843" s="165"/>
    </row>
    <row r="844">
      <c r="I844" s="165"/>
      <c r="J844" s="165"/>
      <c r="K844" s="165"/>
      <c r="L844" s="165"/>
      <c r="M844" s="165"/>
    </row>
    <row r="845">
      <c r="I845" s="165"/>
      <c r="J845" s="165"/>
      <c r="K845" s="165"/>
      <c r="L845" s="165"/>
      <c r="M845" s="165"/>
    </row>
    <row r="846">
      <c r="I846" s="165"/>
      <c r="J846" s="165"/>
      <c r="K846" s="165"/>
      <c r="L846" s="165"/>
      <c r="M846" s="165"/>
    </row>
    <row r="847">
      <c r="I847" s="165"/>
      <c r="J847" s="165"/>
      <c r="K847" s="165"/>
      <c r="L847" s="165"/>
      <c r="M847" s="165"/>
    </row>
    <row r="848">
      <c r="I848" s="165"/>
      <c r="J848" s="165"/>
      <c r="K848" s="165"/>
      <c r="L848" s="165"/>
      <c r="M848" s="165"/>
    </row>
    <row r="849">
      <c r="I849" s="165"/>
      <c r="J849" s="165"/>
      <c r="K849" s="165"/>
      <c r="L849" s="165"/>
      <c r="M849" s="165"/>
    </row>
    <row r="850">
      <c r="I850" s="165"/>
      <c r="J850" s="165"/>
      <c r="K850" s="165"/>
      <c r="L850" s="165"/>
      <c r="M850" s="165"/>
    </row>
    <row r="851">
      <c r="I851" s="165"/>
      <c r="J851" s="165"/>
      <c r="K851" s="165"/>
      <c r="L851" s="165"/>
      <c r="M851" s="165"/>
    </row>
    <row r="852">
      <c r="I852" s="165"/>
      <c r="J852" s="165"/>
      <c r="K852" s="165"/>
      <c r="L852" s="165"/>
      <c r="M852" s="165"/>
    </row>
    <row r="853">
      <c r="I853" s="165"/>
      <c r="J853" s="165"/>
      <c r="K853" s="165"/>
      <c r="L853" s="165"/>
      <c r="M853" s="165"/>
    </row>
    <row r="854">
      <c r="I854" s="165"/>
      <c r="J854" s="165"/>
      <c r="K854" s="165"/>
      <c r="L854" s="165"/>
      <c r="M854" s="165"/>
    </row>
    <row r="855">
      <c r="I855" s="165"/>
      <c r="J855" s="165"/>
      <c r="K855" s="165"/>
      <c r="L855" s="165"/>
      <c r="M855" s="165"/>
    </row>
    <row r="856">
      <c r="I856" s="165"/>
      <c r="J856" s="165"/>
      <c r="K856" s="165"/>
      <c r="L856" s="165"/>
      <c r="M856" s="165"/>
    </row>
    <row r="857">
      <c r="I857" s="165"/>
      <c r="J857" s="165"/>
      <c r="K857" s="165"/>
      <c r="L857" s="165"/>
      <c r="M857" s="165"/>
    </row>
    <row r="858">
      <c r="I858" s="165"/>
      <c r="J858" s="165"/>
      <c r="K858" s="165"/>
      <c r="L858" s="165"/>
      <c r="M858" s="165"/>
    </row>
    <row r="859">
      <c r="I859" s="165"/>
      <c r="J859" s="165"/>
      <c r="K859" s="165"/>
      <c r="L859" s="165"/>
      <c r="M859" s="165"/>
    </row>
    <row r="860">
      <c r="I860" s="165"/>
      <c r="J860" s="165"/>
      <c r="K860" s="165"/>
      <c r="L860" s="165"/>
      <c r="M860" s="165"/>
    </row>
    <row r="861">
      <c r="I861" s="165"/>
      <c r="J861" s="165"/>
      <c r="K861" s="165"/>
      <c r="L861" s="165"/>
      <c r="M861" s="165"/>
    </row>
    <row r="862">
      <c r="I862" s="165"/>
      <c r="J862" s="165"/>
      <c r="K862" s="165"/>
      <c r="L862" s="165"/>
      <c r="M862" s="165"/>
    </row>
    <row r="863">
      <c r="I863" s="165"/>
      <c r="J863" s="165"/>
      <c r="K863" s="165"/>
      <c r="L863" s="165"/>
      <c r="M863" s="165"/>
    </row>
    <row r="864">
      <c r="I864" s="165"/>
      <c r="J864" s="165"/>
      <c r="K864" s="165"/>
      <c r="L864" s="165"/>
      <c r="M864" s="165"/>
    </row>
    <row r="865">
      <c r="I865" s="165"/>
      <c r="J865" s="165"/>
      <c r="K865" s="165"/>
      <c r="L865" s="165"/>
      <c r="M865" s="165"/>
    </row>
    <row r="866">
      <c r="I866" s="165"/>
      <c r="J866" s="165"/>
      <c r="K866" s="165"/>
      <c r="L866" s="165"/>
      <c r="M866" s="165"/>
    </row>
    <row r="867">
      <c r="I867" s="165"/>
      <c r="J867" s="165"/>
      <c r="K867" s="165"/>
      <c r="L867" s="165"/>
      <c r="M867" s="165"/>
    </row>
    <row r="868">
      <c r="I868" s="165"/>
      <c r="J868" s="165"/>
      <c r="K868" s="165"/>
      <c r="L868" s="165"/>
      <c r="M868" s="165"/>
    </row>
    <row r="869">
      <c r="I869" s="165"/>
      <c r="J869" s="165"/>
      <c r="K869" s="165"/>
      <c r="L869" s="165"/>
      <c r="M869" s="165"/>
    </row>
    <row r="870">
      <c r="I870" s="165"/>
      <c r="J870" s="165"/>
      <c r="K870" s="165"/>
      <c r="L870" s="165"/>
      <c r="M870" s="165"/>
    </row>
    <row r="871">
      <c r="I871" s="165"/>
      <c r="J871" s="165"/>
      <c r="K871" s="165"/>
      <c r="L871" s="165"/>
      <c r="M871" s="165"/>
    </row>
    <row r="872">
      <c r="I872" s="165"/>
      <c r="J872" s="165"/>
      <c r="K872" s="165"/>
      <c r="L872" s="165"/>
      <c r="M872" s="165"/>
    </row>
    <row r="873">
      <c r="I873" s="165"/>
      <c r="J873" s="165"/>
      <c r="K873" s="165"/>
      <c r="L873" s="165"/>
      <c r="M873" s="165"/>
    </row>
    <row r="874">
      <c r="I874" s="165"/>
      <c r="J874" s="165"/>
      <c r="K874" s="165"/>
      <c r="L874" s="165"/>
      <c r="M874" s="165"/>
    </row>
    <row r="875">
      <c r="I875" s="165"/>
      <c r="J875" s="165"/>
      <c r="K875" s="165"/>
      <c r="L875" s="165"/>
      <c r="M875" s="165"/>
    </row>
    <row r="876">
      <c r="I876" s="165"/>
      <c r="J876" s="165"/>
      <c r="K876" s="165"/>
      <c r="L876" s="165"/>
      <c r="M876" s="165"/>
    </row>
    <row r="877">
      <c r="I877" s="165"/>
      <c r="J877" s="165"/>
      <c r="K877" s="165"/>
      <c r="L877" s="165"/>
      <c r="M877" s="165"/>
    </row>
    <row r="878">
      <c r="I878" s="165"/>
      <c r="J878" s="165"/>
      <c r="K878" s="165"/>
      <c r="L878" s="165"/>
      <c r="M878" s="165"/>
    </row>
    <row r="879">
      <c r="I879" s="165"/>
      <c r="J879" s="165"/>
      <c r="K879" s="165"/>
      <c r="L879" s="165"/>
      <c r="M879" s="165"/>
    </row>
    <row r="880">
      <c r="I880" s="165"/>
      <c r="J880" s="165"/>
      <c r="K880" s="165"/>
      <c r="L880" s="165"/>
      <c r="M880" s="165"/>
    </row>
    <row r="881">
      <c r="I881" s="165"/>
      <c r="J881" s="165"/>
      <c r="K881" s="165"/>
      <c r="L881" s="165"/>
      <c r="M881" s="165"/>
    </row>
    <row r="882">
      <c r="I882" s="165"/>
      <c r="J882" s="165"/>
      <c r="K882" s="165"/>
      <c r="L882" s="165"/>
      <c r="M882" s="165"/>
    </row>
    <row r="883">
      <c r="I883" s="165"/>
      <c r="J883" s="165"/>
      <c r="K883" s="165"/>
      <c r="L883" s="165"/>
      <c r="M883" s="165"/>
    </row>
    <row r="884">
      <c r="I884" s="165"/>
      <c r="J884" s="165"/>
      <c r="K884" s="165"/>
      <c r="L884" s="165"/>
      <c r="M884" s="165"/>
    </row>
    <row r="885">
      <c r="I885" s="165"/>
      <c r="J885" s="165"/>
      <c r="K885" s="165"/>
      <c r="L885" s="165"/>
      <c r="M885" s="165"/>
    </row>
    <row r="886">
      <c r="I886" s="165"/>
      <c r="J886" s="165"/>
      <c r="K886" s="165"/>
      <c r="L886" s="165"/>
      <c r="M886" s="165"/>
    </row>
    <row r="887">
      <c r="I887" s="165"/>
      <c r="J887" s="165"/>
      <c r="K887" s="165"/>
      <c r="L887" s="165"/>
      <c r="M887" s="165"/>
    </row>
    <row r="888">
      <c r="I888" s="165"/>
      <c r="J888" s="165"/>
      <c r="K888" s="165"/>
      <c r="L888" s="165"/>
      <c r="M888" s="165"/>
    </row>
    <row r="889">
      <c r="I889" s="165"/>
      <c r="J889" s="165"/>
      <c r="K889" s="165"/>
      <c r="L889" s="165"/>
      <c r="M889" s="165"/>
    </row>
    <row r="890">
      <c r="I890" s="165"/>
      <c r="J890" s="165"/>
      <c r="K890" s="165"/>
      <c r="L890" s="165"/>
      <c r="M890" s="165"/>
    </row>
    <row r="891">
      <c r="I891" s="165"/>
      <c r="J891" s="165"/>
      <c r="K891" s="165"/>
      <c r="L891" s="165"/>
      <c r="M891" s="165"/>
    </row>
    <row r="892">
      <c r="I892" s="165"/>
      <c r="J892" s="165"/>
      <c r="K892" s="165"/>
      <c r="L892" s="165"/>
      <c r="M892" s="165"/>
    </row>
    <row r="893">
      <c r="I893" s="165"/>
      <c r="J893" s="165"/>
      <c r="K893" s="165"/>
      <c r="L893" s="165"/>
      <c r="M893" s="165"/>
    </row>
    <row r="894">
      <c r="I894" s="165"/>
      <c r="J894" s="165"/>
      <c r="K894" s="165"/>
      <c r="L894" s="165"/>
      <c r="M894" s="165"/>
    </row>
    <row r="895">
      <c r="I895" s="165"/>
      <c r="J895" s="165"/>
      <c r="K895" s="165"/>
      <c r="L895" s="165"/>
      <c r="M895" s="165"/>
    </row>
    <row r="896">
      <c r="I896" s="165"/>
      <c r="J896" s="165"/>
      <c r="K896" s="165"/>
      <c r="L896" s="165"/>
      <c r="M896" s="165"/>
    </row>
    <row r="897">
      <c r="I897" s="165"/>
      <c r="J897" s="165"/>
      <c r="K897" s="165"/>
      <c r="L897" s="165"/>
      <c r="M897" s="165"/>
    </row>
    <row r="898">
      <c r="I898" s="165"/>
      <c r="J898" s="165"/>
      <c r="K898" s="165"/>
      <c r="L898" s="165"/>
      <c r="M898" s="165"/>
    </row>
    <row r="899">
      <c r="I899" s="165"/>
      <c r="J899" s="165"/>
      <c r="K899" s="165"/>
      <c r="L899" s="165"/>
      <c r="M899" s="165"/>
    </row>
    <row r="900">
      <c r="I900" s="165"/>
      <c r="J900" s="165"/>
      <c r="K900" s="165"/>
      <c r="L900" s="165"/>
      <c r="M900" s="165"/>
    </row>
    <row r="901">
      <c r="I901" s="165"/>
      <c r="J901" s="165"/>
      <c r="K901" s="165"/>
      <c r="L901" s="165"/>
      <c r="M901" s="165"/>
    </row>
    <row r="902">
      <c r="I902" s="165"/>
      <c r="J902" s="165"/>
      <c r="K902" s="165"/>
      <c r="L902" s="165"/>
      <c r="M902" s="165"/>
    </row>
    <row r="903">
      <c r="I903" s="165"/>
      <c r="J903" s="165"/>
      <c r="K903" s="165"/>
      <c r="L903" s="165"/>
      <c r="M903" s="165"/>
    </row>
    <row r="904">
      <c r="I904" s="165"/>
      <c r="J904" s="165"/>
      <c r="K904" s="165"/>
      <c r="L904" s="165"/>
      <c r="M904" s="165"/>
    </row>
    <row r="905">
      <c r="I905" s="165"/>
      <c r="J905" s="165"/>
      <c r="K905" s="165"/>
      <c r="L905" s="165"/>
      <c r="M905" s="165"/>
    </row>
    <row r="906">
      <c r="I906" s="165"/>
      <c r="J906" s="165"/>
      <c r="K906" s="165"/>
      <c r="L906" s="165"/>
      <c r="M906" s="165"/>
    </row>
    <row r="907">
      <c r="I907" s="165"/>
      <c r="J907" s="165"/>
      <c r="K907" s="165"/>
      <c r="L907" s="165"/>
      <c r="M907" s="165"/>
    </row>
    <row r="908">
      <c r="I908" s="165"/>
      <c r="J908" s="165"/>
      <c r="K908" s="165"/>
      <c r="L908" s="165"/>
      <c r="M908" s="165"/>
    </row>
    <row r="909">
      <c r="I909" s="165"/>
      <c r="J909" s="165"/>
      <c r="K909" s="165"/>
      <c r="L909" s="165"/>
      <c r="M909" s="165"/>
    </row>
    <row r="910">
      <c r="I910" s="165"/>
      <c r="J910" s="165"/>
      <c r="K910" s="165"/>
      <c r="L910" s="165"/>
      <c r="M910" s="165"/>
    </row>
    <row r="911">
      <c r="I911" s="165"/>
      <c r="J911" s="165"/>
      <c r="K911" s="165"/>
      <c r="L911" s="165"/>
      <c r="M911" s="165"/>
    </row>
    <row r="912">
      <c r="I912" s="165"/>
      <c r="J912" s="165"/>
      <c r="K912" s="165"/>
      <c r="L912" s="165"/>
      <c r="M912" s="165"/>
    </row>
    <row r="913">
      <c r="I913" s="165"/>
      <c r="J913" s="165"/>
      <c r="K913" s="165"/>
      <c r="L913" s="165"/>
      <c r="M913" s="165"/>
    </row>
    <row r="914">
      <c r="I914" s="165"/>
      <c r="J914" s="165"/>
      <c r="K914" s="165"/>
      <c r="L914" s="165"/>
      <c r="M914" s="165"/>
    </row>
    <row r="915">
      <c r="I915" s="165"/>
      <c r="J915" s="165"/>
      <c r="K915" s="165"/>
      <c r="L915" s="165"/>
      <c r="M915" s="165"/>
    </row>
    <row r="916">
      <c r="I916" s="165"/>
      <c r="J916" s="165"/>
      <c r="K916" s="165"/>
      <c r="L916" s="165"/>
      <c r="M916" s="165"/>
    </row>
    <row r="917">
      <c r="I917" s="165"/>
      <c r="J917" s="165"/>
      <c r="K917" s="165"/>
      <c r="L917" s="165"/>
      <c r="M917" s="165"/>
    </row>
    <row r="918">
      <c r="I918" s="165"/>
      <c r="J918" s="165"/>
      <c r="K918" s="165"/>
      <c r="L918" s="165"/>
      <c r="M918" s="165"/>
    </row>
    <row r="919">
      <c r="I919" s="165"/>
      <c r="J919" s="165"/>
      <c r="K919" s="165"/>
      <c r="L919" s="165"/>
      <c r="M919" s="165"/>
    </row>
    <row r="920">
      <c r="I920" s="165"/>
      <c r="J920" s="165"/>
      <c r="K920" s="165"/>
      <c r="L920" s="165"/>
      <c r="M920" s="165"/>
    </row>
    <row r="921">
      <c r="I921" s="165"/>
      <c r="J921" s="165"/>
      <c r="K921" s="165"/>
      <c r="L921" s="165"/>
      <c r="M921" s="165"/>
    </row>
    <row r="922">
      <c r="I922" s="165"/>
      <c r="J922" s="165"/>
      <c r="K922" s="165"/>
      <c r="L922" s="165"/>
      <c r="M922" s="165"/>
    </row>
    <row r="923">
      <c r="I923" s="165"/>
      <c r="J923" s="165"/>
      <c r="K923" s="165"/>
      <c r="L923" s="165"/>
      <c r="M923" s="165"/>
    </row>
    <row r="924">
      <c r="I924" s="165"/>
      <c r="J924" s="165"/>
      <c r="K924" s="165"/>
      <c r="L924" s="165"/>
      <c r="M924" s="165"/>
    </row>
    <row r="925">
      <c r="I925" s="165"/>
      <c r="J925" s="165"/>
      <c r="K925" s="165"/>
      <c r="L925" s="165"/>
      <c r="M925" s="165"/>
    </row>
    <row r="926">
      <c r="I926" s="165"/>
      <c r="J926" s="165"/>
      <c r="K926" s="165"/>
      <c r="L926" s="165"/>
      <c r="M926" s="165"/>
    </row>
    <row r="927">
      <c r="I927" s="165"/>
      <c r="J927" s="165"/>
      <c r="K927" s="165"/>
      <c r="L927" s="165"/>
      <c r="M927" s="165"/>
    </row>
    <row r="928">
      <c r="I928" s="165"/>
      <c r="J928" s="165"/>
      <c r="K928" s="165"/>
      <c r="L928" s="165"/>
      <c r="M928" s="165"/>
    </row>
    <row r="929">
      <c r="I929" s="165"/>
      <c r="J929" s="165"/>
      <c r="K929" s="165"/>
      <c r="L929" s="165"/>
      <c r="M929" s="165"/>
    </row>
    <row r="930">
      <c r="I930" s="165"/>
      <c r="J930" s="165"/>
      <c r="K930" s="165"/>
      <c r="L930" s="165"/>
      <c r="M930" s="165"/>
    </row>
    <row r="931">
      <c r="I931" s="165"/>
      <c r="J931" s="165"/>
      <c r="K931" s="165"/>
      <c r="L931" s="165"/>
      <c r="M931" s="165"/>
    </row>
    <row r="932">
      <c r="I932" s="165"/>
      <c r="J932" s="165"/>
      <c r="K932" s="165"/>
      <c r="L932" s="165"/>
      <c r="M932" s="165"/>
    </row>
    <row r="933">
      <c r="I933" s="165"/>
      <c r="J933" s="165"/>
      <c r="K933" s="165"/>
      <c r="L933" s="165"/>
      <c r="M933" s="165"/>
    </row>
    <row r="934">
      <c r="I934" s="165"/>
      <c r="J934" s="165"/>
      <c r="K934" s="165"/>
      <c r="L934" s="165"/>
      <c r="M934" s="165"/>
    </row>
    <row r="935">
      <c r="I935" s="165"/>
      <c r="J935" s="165"/>
      <c r="K935" s="165"/>
      <c r="L935" s="165"/>
      <c r="M935" s="165"/>
    </row>
    <row r="936">
      <c r="I936" s="165"/>
      <c r="J936" s="165"/>
      <c r="K936" s="165"/>
      <c r="L936" s="165"/>
      <c r="M936" s="165"/>
    </row>
    <row r="937">
      <c r="I937" s="165"/>
      <c r="J937" s="165"/>
      <c r="K937" s="165"/>
      <c r="L937" s="165"/>
      <c r="M937" s="165"/>
    </row>
    <row r="938">
      <c r="I938" s="165"/>
      <c r="J938" s="165"/>
      <c r="K938" s="165"/>
      <c r="L938" s="165"/>
      <c r="M938" s="165"/>
    </row>
    <row r="939">
      <c r="I939" s="165"/>
      <c r="J939" s="165"/>
      <c r="K939" s="165"/>
      <c r="L939" s="165"/>
      <c r="M939" s="165"/>
    </row>
    <row r="940">
      <c r="I940" s="165"/>
      <c r="J940" s="165"/>
      <c r="K940" s="165"/>
      <c r="L940" s="165"/>
      <c r="M940" s="165"/>
    </row>
    <row r="941">
      <c r="I941" s="165"/>
      <c r="J941" s="165"/>
      <c r="K941" s="165"/>
      <c r="L941" s="165"/>
      <c r="M941" s="165"/>
    </row>
    <row r="942">
      <c r="I942" s="165"/>
      <c r="J942" s="165"/>
      <c r="K942" s="165"/>
      <c r="L942" s="165"/>
      <c r="M942" s="165"/>
    </row>
    <row r="943">
      <c r="I943" s="165"/>
      <c r="J943" s="165"/>
      <c r="K943" s="165"/>
      <c r="L943" s="165"/>
      <c r="M943" s="165"/>
    </row>
    <row r="944">
      <c r="I944" s="165"/>
      <c r="J944" s="165"/>
      <c r="K944" s="165"/>
      <c r="L944" s="165"/>
      <c r="M944" s="165"/>
    </row>
    <row r="945">
      <c r="I945" s="165"/>
      <c r="J945" s="165"/>
      <c r="K945" s="165"/>
      <c r="L945" s="165"/>
      <c r="M945" s="165"/>
    </row>
    <row r="946">
      <c r="I946" s="165"/>
      <c r="J946" s="165"/>
      <c r="K946" s="165"/>
      <c r="L946" s="165"/>
      <c r="M946" s="165"/>
    </row>
    <row r="947">
      <c r="I947" s="165"/>
      <c r="J947" s="165"/>
      <c r="K947" s="165"/>
      <c r="L947" s="165"/>
      <c r="M947" s="165"/>
    </row>
    <row r="948">
      <c r="I948" s="165"/>
      <c r="J948" s="165"/>
      <c r="K948" s="165"/>
      <c r="L948" s="165"/>
      <c r="M948" s="165"/>
    </row>
    <row r="949">
      <c r="I949" s="165"/>
      <c r="J949" s="165"/>
      <c r="K949" s="165"/>
      <c r="L949" s="165"/>
      <c r="M949" s="165"/>
    </row>
    <row r="950">
      <c r="I950" s="165"/>
      <c r="J950" s="165"/>
      <c r="K950" s="165"/>
      <c r="L950" s="165"/>
      <c r="M950" s="165"/>
    </row>
    <row r="951">
      <c r="I951" s="165"/>
      <c r="J951" s="165"/>
      <c r="K951" s="165"/>
      <c r="L951" s="165"/>
      <c r="M951" s="165"/>
    </row>
    <row r="952">
      <c r="I952" s="165"/>
      <c r="J952" s="165"/>
      <c r="K952" s="165"/>
      <c r="L952" s="165"/>
      <c r="M952" s="165"/>
    </row>
    <row r="953">
      <c r="I953" s="165"/>
      <c r="J953" s="165"/>
      <c r="K953" s="165"/>
      <c r="L953" s="165"/>
      <c r="M953" s="165"/>
    </row>
    <row r="954">
      <c r="I954" s="165"/>
      <c r="J954" s="165"/>
      <c r="K954" s="165"/>
      <c r="L954" s="165"/>
      <c r="M954" s="165"/>
    </row>
    <row r="955">
      <c r="I955" s="165"/>
      <c r="J955" s="165"/>
      <c r="K955" s="165"/>
      <c r="L955" s="165"/>
      <c r="M955" s="165"/>
    </row>
    <row r="956">
      <c r="I956" s="165"/>
      <c r="J956" s="165"/>
      <c r="K956" s="165"/>
      <c r="L956" s="165"/>
      <c r="M956" s="165"/>
    </row>
    <row r="957">
      <c r="I957" s="165"/>
      <c r="J957" s="165"/>
      <c r="K957" s="165"/>
      <c r="L957" s="165"/>
      <c r="M957" s="165"/>
    </row>
    <row r="958">
      <c r="I958" s="165"/>
      <c r="J958" s="165"/>
      <c r="K958" s="165"/>
      <c r="L958" s="165"/>
      <c r="M958" s="165"/>
    </row>
    <row r="959">
      <c r="I959" s="165"/>
      <c r="J959" s="165"/>
      <c r="K959" s="165"/>
      <c r="L959" s="165"/>
      <c r="M959" s="165"/>
    </row>
    <row r="960">
      <c r="I960" s="165"/>
      <c r="J960" s="165"/>
      <c r="K960" s="165"/>
      <c r="L960" s="165"/>
      <c r="M960" s="165"/>
    </row>
    <row r="961">
      <c r="I961" s="165"/>
      <c r="J961" s="165"/>
      <c r="K961" s="165"/>
      <c r="L961" s="165"/>
      <c r="M961" s="165"/>
    </row>
    <row r="962">
      <c r="I962" s="165"/>
      <c r="J962" s="165"/>
      <c r="K962" s="165"/>
      <c r="L962" s="165"/>
      <c r="M962" s="165"/>
    </row>
    <row r="963">
      <c r="I963" s="165"/>
      <c r="J963" s="165"/>
      <c r="K963" s="165"/>
      <c r="L963" s="165"/>
      <c r="M963" s="165"/>
    </row>
    <row r="964">
      <c r="I964" s="165"/>
      <c r="J964" s="165"/>
      <c r="K964" s="165"/>
      <c r="L964" s="165"/>
      <c r="M964" s="165"/>
    </row>
    <row r="965">
      <c r="I965" s="165"/>
      <c r="J965" s="165"/>
      <c r="K965" s="165"/>
      <c r="L965" s="165"/>
      <c r="M965" s="165"/>
    </row>
    <row r="966">
      <c r="I966" s="165"/>
      <c r="J966" s="165"/>
      <c r="K966" s="165"/>
      <c r="L966" s="165"/>
      <c r="M966" s="165"/>
    </row>
    <row r="967">
      <c r="I967" s="165"/>
      <c r="J967" s="165"/>
      <c r="K967" s="165"/>
      <c r="L967" s="165"/>
      <c r="M967" s="165"/>
    </row>
    <row r="968">
      <c r="I968" s="165"/>
      <c r="J968" s="165"/>
      <c r="K968" s="165"/>
      <c r="L968" s="165"/>
      <c r="M968" s="165"/>
    </row>
    <row r="969">
      <c r="I969" s="165"/>
      <c r="J969" s="165"/>
      <c r="K969" s="165"/>
      <c r="L969" s="165"/>
      <c r="M969" s="165"/>
    </row>
    <row r="970">
      <c r="I970" s="165"/>
      <c r="J970" s="165"/>
      <c r="K970" s="165"/>
      <c r="L970" s="165"/>
      <c r="M970" s="165"/>
    </row>
    <row r="971">
      <c r="I971" s="165"/>
      <c r="J971" s="165"/>
      <c r="K971" s="165"/>
      <c r="L971" s="165"/>
      <c r="M971" s="165"/>
    </row>
    <row r="972">
      <c r="I972" s="165"/>
      <c r="J972" s="165"/>
      <c r="K972" s="165"/>
      <c r="L972" s="165"/>
      <c r="M972" s="165"/>
    </row>
    <row r="973">
      <c r="I973" s="165"/>
      <c r="J973" s="165"/>
      <c r="K973" s="165"/>
      <c r="L973" s="165"/>
      <c r="M973" s="165"/>
    </row>
    <row r="974">
      <c r="I974" s="165"/>
      <c r="J974" s="165"/>
      <c r="K974" s="165"/>
      <c r="L974" s="165"/>
      <c r="M974" s="165"/>
    </row>
    <row r="975">
      <c r="I975" s="165"/>
      <c r="J975" s="165"/>
      <c r="K975" s="165"/>
      <c r="L975" s="165"/>
      <c r="M975" s="165"/>
    </row>
    <row r="976">
      <c r="I976" s="165"/>
      <c r="J976" s="165"/>
      <c r="K976" s="165"/>
      <c r="L976" s="165"/>
      <c r="M976" s="165"/>
    </row>
    <row r="977">
      <c r="I977" s="165"/>
      <c r="J977" s="165"/>
      <c r="K977" s="165"/>
      <c r="L977" s="165"/>
      <c r="M977" s="165"/>
    </row>
    <row r="978">
      <c r="I978" s="165"/>
      <c r="J978" s="165"/>
      <c r="K978" s="165"/>
      <c r="L978" s="165"/>
      <c r="M978" s="165"/>
    </row>
    <row r="979">
      <c r="I979" s="165"/>
      <c r="J979" s="165"/>
      <c r="K979" s="165"/>
      <c r="L979" s="165"/>
      <c r="M979" s="165"/>
    </row>
    <row r="980">
      <c r="I980" s="165"/>
      <c r="J980" s="165"/>
      <c r="K980" s="165"/>
      <c r="L980" s="165"/>
      <c r="M980" s="165"/>
    </row>
    <row r="981">
      <c r="I981" s="165"/>
      <c r="J981" s="165"/>
      <c r="K981" s="165"/>
      <c r="L981" s="165"/>
      <c r="M981" s="165"/>
    </row>
    <row r="982">
      <c r="I982" s="165"/>
      <c r="J982" s="165"/>
      <c r="K982" s="165"/>
      <c r="L982" s="165"/>
      <c r="M982" s="165"/>
    </row>
    <row r="983">
      <c r="I983" s="165"/>
      <c r="J983" s="165"/>
      <c r="K983" s="165"/>
      <c r="L983" s="165"/>
      <c r="M983" s="165"/>
    </row>
    <row r="984">
      <c r="I984" s="165"/>
      <c r="J984" s="165"/>
      <c r="K984" s="165"/>
      <c r="L984" s="165"/>
      <c r="M984" s="165"/>
    </row>
    <row r="985">
      <c r="I985" s="165"/>
      <c r="J985" s="165"/>
      <c r="K985" s="165"/>
      <c r="L985" s="165"/>
      <c r="M985" s="165"/>
    </row>
    <row r="986">
      <c r="I986" s="165"/>
      <c r="J986" s="165"/>
      <c r="K986" s="165"/>
      <c r="L986" s="165"/>
      <c r="M986" s="165"/>
    </row>
    <row r="987">
      <c r="I987" s="165"/>
      <c r="J987" s="165"/>
      <c r="K987" s="165"/>
      <c r="L987" s="165"/>
      <c r="M987" s="165"/>
    </row>
    <row r="988">
      <c r="I988" s="165"/>
      <c r="J988" s="165"/>
      <c r="K988" s="165"/>
      <c r="L988" s="165"/>
      <c r="M988" s="165"/>
    </row>
    <row r="989">
      <c r="I989" s="165"/>
      <c r="J989" s="165"/>
      <c r="K989" s="165"/>
      <c r="L989" s="165"/>
      <c r="M989" s="165"/>
    </row>
    <row r="990">
      <c r="I990" s="165"/>
      <c r="J990" s="165"/>
      <c r="K990" s="165"/>
      <c r="L990" s="165"/>
      <c r="M990" s="165"/>
    </row>
    <row r="991">
      <c r="I991" s="165"/>
      <c r="J991" s="165"/>
      <c r="K991" s="165"/>
      <c r="L991" s="165"/>
      <c r="M991" s="165"/>
    </row>
    <row r="992">
      <c r="I992" s="165"/>
      <c r="J992" s="165"/>
      <c r="K992" s="165"/>
      <c r="L992" s="165"/>
      <c r="M992" s="165"/>
    </row>
    <row r="993">
      <c r="I993" s="165"/>
      <c r="J993" s="165"/>
      <c r="K993" s="165"/>
      <c r="L993" s="165"/>
      <c r="M993" s="165"/>
    </row>
    <row r="994">
      <c r="I994" s="165"/>
      <c r="J994" s="165"/>
      <c r="K994" s="165"/>
      <c r="L994" s="165"/>
      <c r="M994" s="165"/>
    </row>
    <row r="995">
      <c r="I995" s="165"/>
      <c r="J995" s="165"/>
      <c r="K995" s="165"/>
      <c r="L995" s="165"/>
      <c r="M995" s="165"/>
    </row>
    <row r="996">
      <c r="I996" s="165"/>
      <c r="J996" s="165"/>
      <c r="K996" s="165"/>
      <c r="L996" s="165"/>
      <c r="M996" s="165"/>
    </row>
    <row r="997">
      <c r="I997" s="165"/>
      <c r="J997" s="165"/>
      <c r="K997" s="165"/>
      <c r="L997" s="165"/>
      <c r="M997" s="165"/>
    </row>
  </sheetData>
  <mergeCells count="3">
    <mergeCell ref="A1:E1"/>
    <mergeCell ref="A2:B2"/>
    <mergeCell ref="B3:L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5.86"/>
    <col customWidth="1" min="3" max="3" width="21.71"/>
    <col customWidth="1" min="4" max="4" width="31.14"/>
    <col customWidth="1" min="5" max="5" width="25.71"/>
    <col customWidth="1" min="6" max="6" width="21.57"/>
    <col customWidth="1" min="7" max="7" width="26.29"/>
    <col customWidth="1" min="8" max="8" width="26.86"/>
    <col customWidth="1" min="9" max="9" width="24.43"/>
    <col customWidth="1" min="10" max="10" width="37.43"/>
    <col customWidth="1" min="11" max="11" width="7.71"/>
    <col customWidth="1" min="12" max="12" width="29.57"/>
    <col customWidth="1" min="13" max="13" width="26.0"/>
    <col customWidth="1" min="14" max="14" width="5.0"/>
    <col customWidth="1" min="15" max="15" width="18.0"/>
    <col customWidth="1" min="16" max="16" width="20.86"/>
  </cols>
  <sheetData>
    <row r="1" ht="37.5" customHeight="1">
      <c r="A1" s="1" t="s">
        <v>213</v>
      </c>
      <c r="K1" s="165"/>
      <c r="L1" s="165"/>
      <c r="M1" s="165"/>
      <c r="N1" s="165"/>
      <c r="O1" s="165"/>
    </row>
    <row r="2" ht="23.25" customHeight="1">
      <c r="A2" s="133" t="s">
        <v>216</v>
      </c>
      <c r="B2" s="79"/>
      <c r="C2" s="5">
        <v>244601.0</v>
      </c>
      <c r="D2" s="5"/>
      <c r="E2" s="168"/>
      <c r="F2" s="169"/>
      <c r="G2" s="169"/>
      <c r="H2" s="169"/>
      <c r="I2" s="169"/>
      <c r="J2" s="169"/>
      <c r="K2" s="170"/>
      <c r="L2" s="170"/>
      <c r="M2" s="170"/>
      <c r="N2" s="170"/>
      <c r="O2" s="165"/>
    </row>
    <row r="3" ht="23.25" customHeight="1">
      <c r="A3" s="7"/>
      <c r="B3" s="7"/>
      <c r="C3" s="7"/>
      <c r="O3" s="165"/>
      <c r="P3" s="10"/>
    </row>
    <row r="4" ht="43.5" customHeight="1">
      <c r="A4" s="229" t="s">
        <v>246</v>
      </c>
      <c r="B4" s="229" t="s">
        <v>247</v>
      </c>
      <c r="C4" s="229" t="s">
        <v>226</v>
      </c>
      <c r="D4" s="229" t="s">
        <v>229</v>
      </c>
      <c r="E4" s="229" t="s">
        <v>230</v>
      </c>
      <c r="F4" s="229" t="s">
        <v>248</v>
      </c>
      <c r="G4" s="229"/>
      <c r="H4" s="229"/>
      <c r="I4" s="229"/>
      <c r="J4" s="229" t="s">
        <v>232</v>
      </c>
      <c r="K4" s="172"/>
      <c r="L4" s="230" t="s">
        <v>226</v>
      </c>
      <c r="M4" s="231"/>
      <c r="N4" s="172"/>
      <c r="O4" s="173"/>
      <c r="P4" s="27"/>
    </row>
    <row r="5" ht="32.25" customHeight="1">
      <c r="A5" s="232">
        <v>501.0</v>
      </c>
      <c r="B5" s="231" t="s">
        <v>249</v>
      </c>
      <c r="C5" s="233" t="s">
        <v>250</v>
      </c>
      <c r="D5" s="234">
        <v>244601.0</v>
      </c>
      <c r="E5" s="234">
        <v>244605.0</v>
      </c>
      <c r="F5" s="235">
        <v>3.0</v>
      </c>
      <c r="G5" s="235" t="b">
        <v>0</v>
      </c>
      <c r="H5" s="235" t="b">
        <v>0</v>
      </c>
      <c r="I5" s="235" t="b">
        <v>0</v>
      </c>
      <c r="J5" s="236"/>
      <c r="K5" s="182"/>
      <c r="L5" s="237" t="s">
        <v>250</v>
      </c>
      <c r="M5" s="238"/>
      <c r="N5" s="184"/>
      <c r="O5" s="184"/>
      <c r="P5" s="45"/>
    </row>
    <row r="6" ht="32.25" customHeight="1">
      <c r="A6" s="178">
        <v>502.0</v>
      </c>
      <c r="B6" s="231" t="s">
        <v>249</v>
      </c>
      <c r="C6" s="231" t="s">
        <v>250</v>
      </c>
      <c r="D6" s="180">
        <v>244601.0</v>
      </c>
      <c r="E6" s="180">
        <v>244605.0</v>
      </c>
      <c r="F6" s="181">
        <v>3.0</v>
      </c>
      <c r="G6" s="235" t="b">
        <v>0</v>
      </c>
      <c r="H6" s="235" t="b">
        <v>0</v>
      </c>
      <c r="I6" s="235" t="b">
        <v>0</v>
      </c>
      <c r="J6" s="239"/>
      <c r="K6" s="182"/>
      <c r="L6" s="240" t="s">
        <v>251</v>
      </c>
      <c r="M6" s="164"/>
      <c r="N6" s="184"/>
      <c r="O6" s="184"/>
      <c r="P6" s="45"/>
    </row>
    <row r="7" ht="32.25" customHeight="1">
      <c r="A7" s="178">
        <v>503.0</v>
      </c>
      <c r="B7" s="231" t="s">
        <v>249</v>
      </c>
      <c r="C7" s="231" t="s">
        <v>250</v>
      </c>
      <c r="D7" s="180">
        <v>244601.0</v>
      </c>
      <c r="E7" s="180">
        <v>244604.0</v>
      </c>
      <c r="F7" s="181">
        <v>2.0</v>
      </c>
      <c r="G7" s="235" t="b">
        <v>0</v>
      </c>
      <c r="H7" s="235" t="b">
        <v>0</v>
      </c>
      <c r="I7" s="235" t="b">
        <v>0</v>
      </c>
      <c r="J7" s="239"/>
      <c r="K7" s="182"/>
      <c r="L7" s="241" t="s">
        <v>252</v>
      </c>
      <c r="M7" s="186"/>
      <c r="N7" s="184"/>
      <c r="O7" s="184"/>
      <c r="P7" s="45"/>
    </row>
    <row r="8" ht="32.25" customHeight="1">
      <c r="A8" s="178">
        <v>504.0</v>
      </c>
      <c r="B8" s="231" t="s">
        <v>249</v>
      </c>
      <c r="C8" s="231" t="s">
        <v>250</v>
      </c>
      <c r="D8" s="180">
        <v>244601.0</v>
      </c>
      <c r="E8" s="180">
        <v>244604.0</v>
      </c>
      <c r="F8" s="181">
        <v>2.0</v>
      </c>
      <c r="G8" s="235" t="b">
        <v>0</v>
      </c>
      <c r="H8" s="235" t="b">
        <v>0</v>
      </c>
      <c r="I8" s="235" t="b">
        <v>0</v>
      </c>
      <c r="J8" s="239"/>
      <c r="K8" s="182"/>
      <c r="L8" s="242" t="s">
        <v>253</v>
      </c>
      <c r="M8" s="186"/>
      <c r="N8" s="184"/>
      <c r="O8" s="184"/>
    </row>
    <row r="9" ht="32.25" customHeight="1">
      <c r="A9" s="178">
        <v>505.0</v>
      </c>
      <c r="B9" s="231" t="s">
        <v>249</v>
      </c>
      <c r="C9" s="231" t="s">
        <v>250</v>
      </c>
      <c r="D9" s="180">
        <v>244601.0</v>
      </c>
      <c r="E9" s="180">
        <v>244604.0</v>
      </c>
      <c r="F9" s="181">
        <v>2.0</v>
      </c>
      <c r="G9" s="235" t="b">
        <v>0</v>
      </c>
      <c r="H9" s="235" t="b">
        <v>0</v>
      </c>
      <c r="I9" s="235" t="b">
        <v>0</v>
      </c>
      <c r="J9" s="239"/>
      <c r="K9" s="182"/>
      <c r="L9" s="182"/>
      <c r="M9" s="182"/>
      <c r="N9" s="184"/>
      <c r="O9" s="184"/>
    </row>
    <row r="10" ht="32.25" customHeight="1">
      <c r="A10" s="178">
        <v>506.0</v>
      </c>
      <c r="B10" s="231" t="s">
        <v>249</v>
      </c>
      <c r="C10" s="231" t="s">
        <v>250</v>
      </c>
      <c r="D10" s="180">
        <v>244601.0</v>
      </c>
      <c r="E10" s="180">
        <v>244604.0</v>
      </c>
      <c r="F10" s="181">
        <v>2.0</v>
      </c>
      <c r="G10" s="235" t="b">
        <v>0</v>
      </c>
      <c r="H10" s="235" t="b">
        <v>0</v>
      </c>
      <c r="I10" s="235" t="b">
        <v>0</v>
      </c>
      <c r="J10" s="239"/>
      <c r="K10" s="182"/>
      <c r="L10" s="182"/>
      <c r="M10" s="182"/>
      <c r="N10" s="184"/>
      <c r="O10" s="184"/>
    </row>
    <row r="11" ht="32.25" customHeight="1">
      <c r="A11" s="178">
        <v>507.0</v>
      </c>
      <c r="B11" s="164" t="s">
        <v>54</v>
      </c>
      <c r="C11" s="164" t="s">
        <v>252</v>
      </c>
      <c r="D11" s="180">
        <v>244598.0</v>
      </c>
      <c r="E11" s="180">
        <v>244605.0</v>
      </c>
      <c r="F11" s="181">
        <v>6.0</v>
      </c>
      <c r="G11" s="235" t="b">
        <v>0</v>
      </c>
      <c r="H11" s="235" t="b">
        <v>0</v>
      </c>
      <c r="I11" s="235" t="b">
        <v>0</v>
      </c>
      <c r="J11" s="239"/>
      <c r="K11" s="182"/>
      <c r="L11" s="182"/>
      <c r="M11" s="182"/>
      <c r="N11" s="184"/>
      <c r="O11" s="184"/>
    </row>
    <row r="12" ht="32.25" customHeight="1">
      <c r="A12" s="178">
        <v>508.0</v>
      </c>
      <c r="B12" s="164" t="s">
        <v>254</v>
      </c>
      <c r="C12" s="164" t="s">
        <v>252</v>
      </c>
      <c r="D12" s="180">
        <v>244598.0</v>
      </c>
      <c r="E12" s="180">
        <v>244605.0</v>
      </c>
      <c r="F12" s="181">
        <v>6.0</v>
      </c>
      <c r="G12" s="235" t="b">
        <v>0</v>
      </c>
      <c r="H12" s="235" t="b">
        <v>0</v>
      </c>
      <c r="I12" s="235" t="b">
        <v>0</v>
      </c>
      <c r="J12" s="239"/>
      <c r="K12" s="182"/>
      <c r="L12" s="182"/>
      <c r="M12" s="182"/>
      <c r="N12" s="184"/>
      <c r="O12" s="184"/>
    </row>
    <row r="13" ht="32.25" customHeight="1">
      <c r="A13" s="178">
        <v>509.0</v>
      </c>
      <c r="B13" s="164" t="s">
        <v>255</v>
      </c>
      <c r="C13" s="164" t="s">
        <v>252</v>
      </c>
      <c r="D13" s="180">
        <v>244598.0</v>
      </c>
      <c r="E13" s="180">
        <v>244605.0</v>
      </c>
      <c r="F13" s="181">
        <v>6.0</v>
      </c>
      <c r="G13" s="235" t="b">
        <v>0</v>
      </c>
      <c r="H13" s="235" t="b">
        <v>0</v>
      </c>
      <c r="I13" s="235" t="b">
        <v>0</v>
      </c>
      <c r="J13" s="239"/>
      <c r="K13" s="182"/>
      <c r="L13" s="182"/>
      <c r="M13" s="182"/>
      <c r="N13" s="184"/>
      <c r="O13" s="184"/>
    </row>
    <row r="14" ht="32.25" customHeight="1">
      <c r="A14" s="178">
        <v>510.0</v>
      </c>
      <c r="B14" s="164" t="s">
        <v>254</v>
      </c>
      <c r="C14" s="164" t="s">
        <v>252</v>
      </c>
      <c r="D14" s="180">
        <v>244598.0</v>
      </c>
      <c r="E14" s="180">
        <v>244606.0</v>
      </c>
      <c r="F14" s="181">
        <v>8.0</v>
      </c>
      <c r="G14" s="235" t="b">
        <v>0</v>
      </c>
      <c r="H14" s="235" t="b">
        <v>0</v>
      </c>
      <c r="I14" s="235" t="b">
        <v>0</v>
      </c>
      <c r="J14" s="239"/>
      <c r="K14" s="182"/>
      <c r="L14" s="182"/>
      <c r="M14" s="182"/>
      <c r="N14" s="182"/>
      <c r="O14" s="184"/>
    </row>
    <row r="15" ht="32.25" customHeight="1">
      <c r="A15" s="178">
        <v>511.0</v>
      </c>
      <c r="B15" s="164" t="s">
        <v>254</v>
      </c>
      <c r="C15" s="164" t="s">
        <v>252</v>
      </c>
      <c r="D15" s="180">
        <v>244598.0</v>
      </c>
      <c r="E15" s="180">
        <v>244607.0</v>
      </c>
      <c r="F15" s="181">
        <v>9.0</v>
      </c>
      <c r="G15" s="235" t="b">
        <v>0</v>
      </c>
      <c r="H15" s="235" t="b">
        <v>0</v>
      </c>
      <c r="I15" s="235" t="b">
        <v>0</v>
      </c>
      <c r="J15" s="239"/>
      <c r="K15" s="182"/>
      <c r="L15" s="182"/>
      <c r="M15" s="182"/>
      <c r="N15" s="184"/>
      <c r="O15" s="182"/>
    </row>
    <row r="16" ht="32.25" customHeight="1">
      <c r="A16" s="178">
        <v>512.0</v>
      </c>
      <c r="B16" s="164" t="s">
        <v>254</v>
      </c>
      <c r="C16" s="164" t="s">
        <v>252</v>
      </c>
      <c r="D16" s="180">
        <v>244598.0</v>
      </c>
      <c r="E16" s="180">
        <v>244607.0</v>
      </c>
      <c r="F16" s="181">
        <v>9.0</v>
      </c>
      <c r="G16" s="235" t="b">
        <v>0</v>
      </c>
      <c r="H16" s="235" t="b">
        <v>0</v>
      </c>
      <c r="I16" s="235" t="b">
        <v>0</v>
      </c>
      <c r="J16" s="239"/>
      <c r="K16" s="182"/>
      <c r="L16" s="182"/>
      <c r="M16" s="182"/>
      <c r="N16" s="184"/>
      <c r="O16" s="182"/>
    </row>
    <row r="17" ht="32.25" customHeight="1">
      <c r="A17" s="178">
        <v>513.0</v>
      </c>
      <c r="B17" s="164" t="s">
        <v>254</v>
      </c>
      <c r="C17" s="175"/>
      <c r="D17" s="180"/>
      <c r="E17" s="180"/>
      <c r="F17" s="178"/>
      <c r="G17" s="235" t="b">
        <v>0</v>
      </c>
      <c r="H17" s="235" t="b">
        <v>0</v>
      </c>
      <c r="I17" s="235" t="b">
        <v>0</v>
      </c>
      <c r="J17" s="243"/>
      <c r="K17" s="196"/>
      <c r="L17" s="196"/>
      <c r="M17" s="196"/>
      <c r="N17" s="196"/>
      <c r="O17" s="196"/>
    </row>
    <row r="18" ht="32.25" customHeight="1">
      <c r="A18" s="178">
        <v>514.0</v>
      </c>
      <c r="B18" s="164" t="s">
        <v>254</v>
      </c>
      <c r="C18" s="231" t="s">
        <v>250</v>
      </c>
      <c r="D18" s="180">
        <v>244601.0</v>
      </c>
      <c r="E18" s="180">
        <v>244602.0</v>
      </c>
      <c r="F18" s="178">
        <v>1.0</v>
      </c>
      <c r="G18" s="235" t="b">
        <v>0</v>
      </c>
      <c r="H18" s="235" t="b">
        <v>0</v>
      </c>
      <c r="I18" s="235" t="b">
        <v>0</v>
      </c>
      <c r="J18" s="243"/>
      <c r="K18" s="196"/>
      <c r="L18" s="196"/>
      <c r="M18" s="197"/>
      <c r="N18" s="197"/>
      <c r="O18" s="197"/>
    </row>
    <row r="19" ht="32.25" customHeight="1">
      <c r="A19" s="178">
        <v>515.0</v>
      </c>
      <c r="B19" s="164" t="s">
        <v>254</v>
      </c>
      <c r="C19" s="231" t="s">
        <v>250</v>
      </c>
      <c r="D19" s="180">
        <v>244601.0</v>
      </c>
      <c r="E19" s="180">
        <v>244602.0</v>
      </c>
      <c r="F19" s="178">
        <v>1.0</v>
      </c>
      <c r="G19" s="235" t="b">
        <v>0</v>
      </c>
      <c r="H19" s="235" t="b">
        <v>0</v>
      </c>
      <c r="I19" s="235" t="b">
        <v>0</v>
      </c>
      <c r="J19" s="243"/>
      <c r="K19" s="196"/>
      <c r="L19" s="196"/>
      <c r="M19" s="196"/>
      <c r="N19" s="196"/>
      <c r="O19" s="196"/>
    </row>
    <row r="20" ht="32.25" customHeight="1">
      <c r="A20" s="178">
        <v>516.0</v>
      </c>
      <c r="B20" s="164" t="s">
        <v>254</v>
      </c>
      <c r="C20" s="186" t="s">
        <v>253</v>
      </c>
      <c r="D20" s="180"/>
      <c r="E20" s="180"/>
      <c r="F20" s="178"/>
      <c r="G20" s="235" t="b">
        <v>0</v>
      </c>
      <c r="H20" s="235" t="b">
        <v>0</v>
      </c>
      <c r="I20" s="235" t="b">
        <v>0</v>
      </c>
      <c r="J20" s="244"/>
      <c r="K20" s="202"/>
      <c r="L20" s="202"/>
      <c r="M20" s="165"/>
      <c r="N20" s="165"/>
      <c r="O20" s="165"/>
    </row>
    <row r="21" ht="32.25" customHeight="1">
      <c r="A21" s="178">
        <v>517.0</v>
      </c>
      <c r="B21" s="164" t="s">
        <v>254</v>
      </c>
      <c r="C21" s="238" t="s">
        <v>251</v>
      </c>
      <c r="D21" s="180">
        <v>244600.0</v>
      </c>
      <c r="E21" s="245">
        <v>244601.0</v>
      </c>
      <c r="F21" s="178">
        <v>1.0</v>
      </c>
      <c r="G21" s="235" t="b">
        <v>0</v>
      </c>
      <c r="H21" s="235" t="b">
        <v>0</v>
      </c>
      <c r="I21" s="235" t="b">
        <v>0</v>
      </c>
      <c r="J21" s="244"/>
      <c r="K21" s="202"/>
      <c r="L21" s="202"/>
      <c r="M21" s="165"/>
      <c r="N21" s="165"/>
      <c r="O21" s="165"/>
    </row>
    <row r="22" ht="32.25" customHeight="1">
      <c r="A22" s="178">
        <v>518.0</v>
      </c>
      <c r="B22" s="164" t="s">
        <v>54</v>
      </c>
      <c r="C22" s="238" t="s">
        <v>251</v>
      </c>
      <c r="D22" s="180">
        <v>244600.0</v>
      </c>
      <c r="E22" s="245">
        <v>244601.0</v>
      </c>
      <c r="F22" s="178">
        <v>1.0</v>
      </c>
      <c r="G22" s="235" t="b">
        <v>0</v>
      </c>
      <c r="H22" s="235" t="b">
        <v>0</v>
      </c>
      <c r="I22" s="235" t="b">
        <v>0</v>
      </c>
      <c r="J22" s="244"/>
      <c r="K22" s="202"/>
      <c r="L22" s="202"/>
      <c r="M22" s="165"/>
      <c r="N22" s="165"/>
      <c r="O22" s="165"/>
    </row>
    <row r="23" ht="32.25" customHeight="1">
      <c r="A23" s="178">
        <v>519.0</v>
      </c>
      <c r="B23" s="231" t="s">
        <v>249</v>
      </c>
      <c r="C23" s="238" t="s">
        <v>251</v>
      </c>
      <c r="D23" s="180">
        <v>244600.0</v>
      </c>
      <c r="E23" s="245">
        <v>244601.0</v>
      </c>
      <c r="F23" s="178">
        <v>1.0</v>
      </c>
      <c r="G23" s="235" t="b">
        <v>0</v>
      </c>
      <c r="H23" s="235" t="b">
        <v>0</v>
      </c>
      <c r="I23" s="235" t="b">
        <v>0</v>
      </c>
      <c r="J23" s="244"/>
      <c r="K23" s="202"/>
      <c r="L23" s="202"/>
      <c r="M23" s="165"/>
      <c r="N23" s="165"/>
      <c r="O23" s="165"/>
    </row>
    <row r="24" ht="32.25" customHeight="1">
      <c r="A24" s="178">
        <v>520.0</v>
      </c>
      <c r="B24" s="231" t="s">
        <v>249</v>
      </c>
      <c r="C24" s="238" t="s">
        <v>251</v>
      </c>
      <c r="D24" s="180">
        <v>244600.0</v>
      </c>
      <c r="E24" s="245">
        <v>244601.0</v>
      </c>
      <c r="F24" s="178">
        <v>1.0</v>
      </c>
      <c r="G24" s="235" t="b">
        <v>0</v>
      </c>
      <c r="H24" s="235" t="b">
        <v>0</v>
      </c>
      <c r="I24" s="235" t="b">
        <v>0</v>
      </c>
      <c r="J24" s="244"/>
      <c r="K24" s="202"/>
      <c r="L24" s="202"/>
      <c r="M24" s="165"/>
      <c r="N24" s="165"/>
      <c r="O24" s="165"/>
    </row>
    <row r="25" ht="32.25" customHeight="1">
      <c r="A25" s="178">
        <v>601.0</v>
      </c>
      <c r="B25" s="231" t="s">
        <v>249</v>
      </c>
      <c r="C25" s="231" t="s">
        <v>250</v>
      </c>
      <c r="D25" s="180">
        <v>244601.0</v>
      </c>
      <c r="E25" s="245">
        <v>244602.0</v>
      </c>
      <c r="F25" s="178">
        <v>1.0</v>
      </c>
      <c r="G25" s="235" t="b">
        <v>0</v>
      </c>
      <c r="H25" s="235" t="b">
        <v>0</v>
      </c>
      <c r="I25" s="235" t="b">
        <v>0</v>
      </c>
      <c r="J25" s="244"/>
      <c r="K25" s="202"/>
      <c r="L25" s="202"/>
      <c r="M25" s="165"/>
      <c r="N25" s="165"/>
      <c r="O25" s="165"/>
    </row>
    <row r="26" ht="32.25" customHeight="1">
      <c r="A26" s="178">
        <v>602.0</v>
      </c>
      <c r="B26" s="231" t="s">
        <v>249</v>
      </c>
      <c r="C26" s="231" t="s">
        <v>250</v>
      </c>
      <c r="D26" s="180">
        <v>244601.0</v>
      </c>
      <c r="E26" s="245">
        <v>244602.0</v>
      </c>
      <c r="F26" s="178">
        <v>1.0</v>
      </c>
      <c r="G26" s="235" t="b">
        <v>0</v>
      </c>
      <c r="H26" s="235" t="b">
        <v>0</v>
      </c>
      <c r="I26" s="235" t="b">
        <v>0</v>
      </c>
      <c r="J26" s="244"/>
      <c r="K26" s="202"/>
      <c r="L26" s="202"/>
      <c r="M26" s="165"/>
      <c r="N26" s="165"/>
      <c r="O26" s="165"/>
    </row>
    <row r="27" ht="32.25" customHeight="1">
      <c r="A27" s="178">
        <v>603.0</v>
      </c>
      <c r="B27" s="231" t="s">
        <v>249</v>
      </c>
      <c r="C27" s="231" t="s">
        <v>250</v>
      </c>
      <c r="D27" s="180">
        <v>244601.0</v>
      </c>
      <c r="E27" s="245">
        <v>244602.0</v>
      </c>
      <c r="F27" s="178">
        <v>1.0</v>
      </c>
      <c r="G27" s="235" t="b">
        <v>0</v>
      </c>
      <c r="H27" s="235" t="b">
        <v>0</v>
      </c>
      <c r="I27" s="235" t="b">
        <v>0</v>
      </c>
      <c r="J27" s="244"/>
      <c r="K27" s="202"/>
      <c r="L27" s="202"/>
      <c r="M27" s="165"/>
      <c r="N27" s="165"/>
      <c r="O27" s="165"/>
    </row>
    <row r="28" ht="32.25" customHeight="1">
      <c r="A28" s="178">
        <v>604.0</v>
      </c>
      <c r="B28" s="231" t="s">
        <v>249</v>
      </c>
      <c r="C28" s="231" t="s">
        <v>250</v>
      </c>
      <c r="D28" s="180">
        <v>244601.0</v>
      </c>
      <c r="E28" s="245">
        <v>244602.0</v>
      </c>
      <c r="F28" s="178">
        <v>1.0</v>
      </c>
      <c r="G28" s="235" t="b">
        <v>0</v>
      </c>
      <c r="H28" s="235" t="b">
        <v>0</v>
      </c>
      <c r="I28" s="235" t="b">
        <v>0</v>
      </c>
      <c r="J28" s="244"/>
      <c r="K28" s="202"/>
      <c r="L28" s="202"/>
      <c r="M28" s="165"/>
      <c r="N28" s="165"/>
      <c r="O28" s="165"/>
    </row>
    <row r="29" ht="32.25" customHeight="1">
      <c r="A29" s="178">
        <v>605.0</v>
      </c>
      <c r="B29" s="231" t="s">
        <v>249</v>
      </c>
      <c r="C29" s="231" t="s">
        <v>250</v>
      </c>
      <c r="D29" s="180">
        <v>244601.0</v>
      </c>
      <c r="E29" s="245">
        <v>244602.0</v>
      </c>
      <c r="F29" s="178">
        <v>1.0</v>
      </c>
      <c r="G29" s="235" t="b">
        <v>0</v>
      </c>
      <c r="H29" s="235" t="b">
        <v>0</v>
      </c>
      <c r="I29" s="235" t="b">
        <v>0</v>
      </c>
      <c r="J29" s="244"/>
      <c r="K29" s="202"/>
      <c r="L29" s="202"/>
      <c r="M29" s="165"/>
      <c r="N29" s="165"/>
      <c r="O29" s="165"/>
    </row>
    <row r="30" ht="32.25" customHeight="1">
      <c r="A30" s="178">
        <v>606.0</v>
      </c>
      <c r="B30" s="231" t="s">
        <v>249</v>
      </c>
      <c r="C30" s="231" t="s">
        <v>250</v>
      </c>
      <c r="D30" s="180">
        <v>244601.0</v>
      </c>
      <c r="E30" s="245">
        <v>244602.0</v>
      </c>
      <c r="F30" s="178">
        <v>1.0</v>
      </c>
      <c r="G30" s="235" t="b">
        <v>0</v>
      </c>
      <c r="H30" s="235" t="b">
        <v>0</v>
      </c>
      <c r="I30" s="235" t="b">
        <v>0</v>
      </c>
      <c r="J30" s="244"/>
      <c r="K30" s="202"/>
      <c r="L30" s="202"/>
      <c r="M30" s="165"/>
      <c r="N30" s="165"/>
      <c r="O30" s="165"/>
    </row>
    <row r="31" ht="32.25" customHeight="1">
      <c r="A31" s="178">
        <v>607.0</v>
      </c>
      <c r="B31" s="164" t="s">
        <v>54</v>
      </c>
      <c r="C31" s="231" t="s">
        <v>250</v>
      </c>
      <c r="D31" s="180">
        <v>244601.0</v>
      </c>
      <c r="E31" s="245">
        <v>244602.0</v>
      </c>
      <c r="F31" s="178">
        <v>1.0</v>
      </c>
      <c r="G31" s="235" t="b">
        <v>0</v>
      </c>
      <c r="H31" s="235" t="b">
        <v>0</v>
      </c>
      <c r="I31" s="235" t="b">
        <v>0</v>
      </c>
      <c r="J31" s="244"/>
      <c r="K31" s="202"/>
      <c r="L31" s="202"/>
      <c r="M31" s="165"/>
      <c r="N31" s="165"/>
      <c r="O31" s="165"/>
    </row>
    <row r="32" ht="32.25" customHeight="1">
      <c r="A32" s="178">
        <v>608.0</v>
      </c>
      <c r="B32" s="164" t="s">
        <v>254</v>
      </c>
      <c r="C32" s="231" t="s">
        <v>250</v>
      </c>
      <c r="D32" s="180">
        <v>244601.0</v>
      </c>
      <c r="E32" s="245">
        <v>244602.0</v>
      </c>
      <c r="F32" s="178">
        <v>1.0</v>
      </c>
      <c r="G32" s="235" t="b">
        <v>0</v>
      </c>
      <c r="H32" s="235" t="b">
        <v>0</v>
      </c>
      <c r="I32" s="235" t="b">
        <v>0</v>
      </c>
      <c r="J32" s="244"/>
      <c r="K32" s="202"/>
      <c r="L32" s="202"/>
      <c r="M32" s="165"/>
      <c r="N32" s="165"/>
      <c r="O32" s="165"/>
    </row>
    <row r="33" ht="32.25" customHeight="1">
      <c r="A33" s="178">
        <v>609.0</v>
      </c>
      <c r="B33" s="164" t="s">
        <v>255</v>
      </c>
      <c r="C33" s="164" t="s">
        <v>252</v>
      </c>
      <c r="D33" s="180">
        <v>244599.0</v>
      </c>
      <c r="E33" s="245">
        <v>244602.0</v>
      </c>
      <c r="F33" s="178">
        <v>3.0</v>
      </c>
      <c r="G33" s="235" t="b">
        <v>0</v>
      </c>
      <c r="H33" s="235" t="b">
        <v>0</v>
      </c>
      <c r="I33" s="235" t="b">
        <v>0</v>
      </c>
      <c r="J33" s="244"/>
      <c r="K33" s="202"/>
      <c r="L33" s="202"/>
      <c r="M33" s="165"/>
      <c r="N33" s="165"/>
      <c r="O33" s="165"/>
    </row>
    <row r="34" ht="32.25" customHeight="1">
      <c r="A34" s="178">
        <v>610.0</v>
      </c>
      <c r="B34" s="164" t="s">
        <v>254</v>
      </c>
      <c r="C34" s="231" t="s">
        <v>250</v>
      </c>
      <c r="D34" s="180">
        <v>244601.0</v>
      </c>
      <c r="E34" s="245">
        <v>244602.0</v>
      </c>
      <c r="F34" s="178">
        <v>1.0</v>
      </c>
      <c r="G34" s="235" t="b">
        <v>0</v>
      </c>
      <c r="H34" s="235" t="b">
        <v>0</v>
      </c>
      <c r="I34" s="235" t="b">
        <v>0</v>
      </c>
      <c r="J34" s="244"/>
      <c r="K34" s="202"/>
      <c r="L34" s="202"/>
      <c r="M34" s="165"/>
      <c r="N34" s="165"/>
      <c r="O34" s="165"/>
    </row>
    <row r="35" ht="32.25" customHeight="1">
      <c r="A35" s="178">
        <v>611.0</v>
      </c>
      <c r="B35" s="164" t="s">
        <v>254</v>
      </c>
      <c r="C35" s="231" t="s">
        <v>250</v>
      </c>
      <c r="D35" s="180">
        <v>244601.0</v>
      </c>
      <c r="E35" s="245">
        <v>244602.0</v>
      </c>
      <c r="F35" s="178">
        <v>1.0</v>
      </c>
      <c r="G35" s="235" t="b">
        <v>0</v>
      </c>
      <c r="H35" s="235" t="b">
        <v>0</v>
      </c>
      <c r="I35" s="235" t="b">
        <v>0</v>
      </c>
      <c r="J35" s="244"/>
      <c r="K35" s="202"/>
      <c r="L35" s="202"/>
      <c r="M35" s="165"/>
      <c r="N35" s="165"/>
      <c r="O35" s="165"/>
    </row>
    <row r="36" ht="32.25" customHeight="1">
      <c r="A36" s="178">
        <v>612.0</v>
      </c>
      <c r="B36" s="164" t="s">
        <v>254</v>
      </c>
      <c r="C36" s="231" t="s">
        <v>250</v>
      </c>
      <c r="D36" s="180">
        <v>244601.0</v>
      </c>
      <c r="E36" s="245">
        <v>244602.0</v>
      </c>
      <c r="F36" s="178">
        <v>1.0</v>
      </c>
      <c r="G36" s="235" t="b">
        <v>0</v>
      </c>
      <c r="H36" s="235" t="b">
        <v>0</v>
      </c>
      <c r="I36" s="235" t="b">
        <v>0</v>
      </c>
      <c r="J36" s="244"/>
      <c r="K36" s="202"/>
      <c r="L36" s="202"/>
      <c r="M36" s="165"/>
      <c r="N36" s="165"/>
      <c r="O36" s="165"/>
    </row>
    <row r="37" ht="32.25" customHeight="1">
      <c r="A37" s="178">
        <v>613.0</v>
      </c>
      <c r="B37" s="164" t="s">
        <v>254</v>
      </c>
      <c r="C37" s="231" t="s">
        <v>250</v>
      </c>
      <c r="D37" s="180">
        <v>244601.0</v>
      </c>
      <c r="E37" s="245">
        <v>244602.0</v>
      </c>
      <c r="F37" s="178">
        <v>1.0</v>
      </c>
      <c r="G37" s="235" t="b">
        <v>0</v>
      </c>
      <c r="H37" s="235" t="b">
        <v>0</v>
      </c>
      <c r="I37" s="235" t="b">
        <v>0</v>
      </c>
      <c r="J37" s="244"/>
      <c r="K37" s="202"/>
      <c r="L37" s="202"/>
      <c r="M37" s="165"/>
      <c r="N37" s="165"/>
      <c r="O37" s="165"/>
    </row>
    <row r="38" ht="32.25" customHeight="1">
      <c r="A38" s="178">
        <v>614.0</v>
      </c>
      <c r="B38" s="164" t="s">
        <v>254</v>
      </c>
      <c r="C38" s="231" t="s">
        <v>250</v>
      </c>
      <c r="D38" s="180">
        <v>244601.0</v>
      </c>
      <c r="E38" s="245">
        <v>244602.0</v>
      </c>
      <c r="F38" s="178">
        <v>1.0</v>
      </c>
      <c r="G38" s="235" t="b">
        <v>0</v>
      </c>
      <c r="H38" s="235" t="b">
        <v>0</v>
      </c>
      <c r="I38" s="235" t="b">
        <v>0</v>
      </c>
      <c r="J38" s="244"/>
      <c r="K38" s="202"/>
      <c r="L38" s="202"/>
      <c r="M38" s="165"/>
      <c r="N38" s="165"/>
      <c r="O38" s="165"/>
    </row>
    <row r="39" ht="32.25" customHeight="1">
      <c r="A39" s="178">
        <v>615.0</v>
      </c>
      <c r="B39" s="164" t="s">
        <v>254</v>
      </c>
      <c r="C39" s="231" t="s">
        <v>250</v>
      </c>
      <c r="D39" s="180">
        <v>244601.0</v>
      </c>
      <c r="E39" s="245">
        <v>244602.0</v>
      </c>
      <c r="F39" s="178">
        <v>1.0</v>
      </c>
      <c r="G39" s="235" t="b">
        <v>0</v>
      </c>
      <c r="H39" s="235" t="b">
        <v>0</v>
      </c>
      <c r="I39" s="235" t="b">
        <v>0</v>
      </c>
      <c r="J39" s="244"/>
      <c r="K39" s="202"/>
      <c r="L39" s="202"/>
      <c r="M39" s="165"/>
      <c r="N39" s="165"/>
      <c r="O39" s="165"/>
    </row>
    <row r="40" ht="32.25" customHeight="1">
      <c r="A40" s="178">
        <v>616.0</v>
      </c>
      <c r="B40" s="164" t="s">
        <v>254</v>
      </c>
      <c r="C40" s="231" t="s">
        <v>250</v>
      </c>
      <c r="D40" s="180">
        <v>244601.0</v>
      </c>
      <c r="E40" s="245">
        <v>244602.0</v>
      </c>
      <c r="F40" s="178">
        <v>1.0</v>
      </c>
      <c r="G40" s="235" t="b">
        <v>0</v>
      </c>
      <c r="H40" s="235" t="b">
        <v>0</v>
      </c>
      <c r="I40" s="235" t="b">
        <v>0</v>
      </c>
      <c r="J40" s="244"/>
      <c r="K40" s="202"/>
      <c r="L40" s="202"/>
      <c r="M40" s="165"/>
      <c r="N40" s="165"/>
      <c r="O40" s="165"/>
    </row>
    <row r="41" ht="32.25" customHeight="1">
      <c r="A41" s="178">
        <v>617.0</v>
      </c>
      <c r="B41" s="164" t="s">
        <v>254</v>
      </c>
      <c r="C41" s="231" t="s">
        <v>250</v>
      </c>
      <c r="D41" s="180">
        <v>244601.0</v>
      </c>
      <c r="E41" s="245">
        <v>244602.0</v>
      </c>
      <c r="F41" s="178">
        <v>1.0</v>
      </c>
      <c r="G41" s="235" t="b">
        <v>0</v>
      </c>
      <c r="H41" s="235" t="b">
        <v>0</v>
      </c>
      <c r="I41" s="235" t="b">
        <v>0</v>
      </c>
      <c r="J41" s="244"/>
      <c r="K41" s="202"/>
      <c r="L41" s="202"/>
      <c r="M41" s="165"/>
      <c r="N41" s="165"/>
      <c r="O41" s="165"/>
    </row>
    <row r="42" ht="32.25" customHeight="1">
      <c r="A42" s="178">
        <v>618.0</v>
      </c>
      <c r="B42" s="164" t="s">
        <v>54</v>
      </c>
      <c r="C42" s="231" t="s">
        <v>250</v>
      </c>
      <c r="D42" s="180">
        <v>244601.0</v>
      </c>
      <c r="E42" s="245">
        <v>244602.0</v>
      </c>
      <c r="F42" s="178">
        <v>1.0</v>
      </c>
      <c r="G42" s="235" t="b">
        <v>0</v>
      </c>
      <c r="H42" s="235" t="b">
        <v>0</v>
      </c>
      <c r="I42" s="235" t="b">
        <v>0</v>
      </c>
      <c r="J42" s="244"/>
      <c r="K42" s="202"/>
      <c r="L42" s="202"/>
      <c r="M42" s="165"/>
      <c r="N42" s="165"/>
      <c r="O42" s="165"/>
    </row>
    <row r="43" ht="32.25" customHeight="1">
      <c r="A43" s="178">
        <v>619.0</v>
      </c>
      <c r="B43" s="231" t="s">
        <v>249</v>
      </c>
      <c r="C43" s="231" t="s">
        <v>250</v>
      </c>
      <c r="D43" s="180">
        <v>244601.0</v>
      </c>
      <c r="E43" s="245">
        <v>244602.0</v>
      </c>
      <c r="F43" s="178">
        <v>1.0</v>
      </c>
      <c r="G43" s="235" t="b">
        <v>0</v>
      </c>
      <c r="H43" s="235" t="b">
        <v>0</v>
      </c>
      <c r="I43" s="235" t="b">
        <v>0</v>
      </c>
      <c r="J43" s="244"/>
      <c r="K43" s="202"/>
      <c r="L43" s="202"/>
      <c r="M43" s="165"/>
      <c r="N43" s="165"/>
      <c r="O43" s="165"/>
    </row>
    <row r="44" ht="32.25" customHeight="1">
      <c r="A44" s="178">
        <v>620.0</v>
      </c>
      <c r="B44" s="231" t="s">
        <v>249</v>
      </c>
      <c r="C44" s="231" t="s">
        <v>250</v>
      </c>
      <c r="D44" s="180">
        <v>244601.0</v>
      </c>
      <c r="E44" s="180">
        <v>244602.0</v>
      </c>
      <c r="F44" s="178">
        <v>1.0</v>
      </c>
      <c r="G44" s="235" t="b">
        <v>0</v>
      </c>
      <c r="H44" s="235" t="b">
        <v>0</v>
      </c>
      <c r="I44" s="235" t="b">
        <v>0</v>
      </c>
      <c r="J44" s="244"/>
      <c r="K44" s="202"/>
      <c r="L44" s="202"/>
      <c r="M44" s="165"/>
      <c r="N44" s="165"/>
      <c r="O44" s="165"/>
    </row>
    <row r="45" ht="32.25" customHeight="1">
      <c r="A45" s="178">
        <v>701.0</v>
      </c>
      <c r="B45" s="231" t="s">
        <v>249</v>
      </c>
      <c r="C45" s="231" t="s">
        <v>250</v>
      </c>
      <c r="D45" s="180">
        <v>244601.0</v>
      </c>
      <c r="E45" s="180">
        <v>244602.0</v>
      </c>
      <c r="F45" s="178">
        <v>1.0</v>
      </c>
      <c r="G45" s="235" t="b">
        <v>0</v>
      </c>
      <c r="H45" s="235" t="b">
        <v>0</v>
      </c>
      <c r="I45" s="235" t="b">
        <v>0</v>
      </c>
      <c r="J45" s="244"/>
      <c r="K45" s="202"/>
      <c r="L45" s="202"/>
      <c r="M45" s="165"/>
      <c r="N45" s="165"/>
      <c r="O45" s="165"/>
    </row>
    <row r="46" ht="32.25" customHeight="1">
      <c r="A46" s="178">
        <v>702.0</v>
      </c>
      <c r="B46" s="231" t="s">
        <v>249</v>
      </c>
      <c r="C46" s="231" t="s">
        <v>250</v>
      </c>
      <c r="D46" s="180">
        <v>244601.0</v>
      </c>
      <c r="E46" s="180">
        <v>244602.0</v>
      </c>
      <c r="F46" s="178">
        <v>1.0</v>
      </c>
      <c r="G46" s="235" t="b">
        <v>0</v>
      </c>
      <c r="H46" s="235" t="b">
        <v>0</v>
      </c>
      <c r="I46" s="235" t="b">
        <v>0</v>
      </c>
      <c r="J46" s="244"/>
      <c r="K46" s="202"/>
      <c r="L46" s="202"/>
      <c r="M46" s="165"/>
      <c r="N46" s="165"/>
      <c r="O46" s="165"/>
    </row>
    <row r="47" ht="32.25" customHeight="1">
      <c r="A47" s="178">
        <v>703.0</v>
      </c>
      <c r="B47" s="231" t="s">
        <v>249</v>
      </c>
      <c r="C47" s="164" t="s">
        <v>252</v>
      </c>
      <c r="D47" s="180">
        <v>244593.0</v>
      </c>
      <c r="E47" s="180">
        <v>244602.0</v>
      </c>
      <c r="F47" s="178">
        <v>9.0</v>
      </c>
      <c r="G47" s="235" t="b">
        <v>0</v>
      </c>
      <c r="H47" s="235" t="b">
        <v>0</v>
      </c>
      <c r="I47" s="235" t="b">
        <v>0</v>
      </c>
      <c r="J47" s="244"/>
      <c r="K47" s="202"/>
      <c r="L47" s="202"/>
      <c r="M47" s="165"/>
      <c r="N47" s="165"/>
      <c r="O47" s="165"/>
    </row>
    <row r="48" ht="32.25" customHeight="1">
      <c r="A48" s="178">
        <v>704.0</v>
      </c>
      <c r="B48" s="231" t="s">
        <v>249</v>
      </c>
      <c r="C48" s="164" t="s">
        <v>252</v>
      </c>
      <c r="D48" s="180">
        <v>244593.0</v>
      </c>
      <c r="E48" s="245">
        <v>244602.0</v>
      </c>
      <c r="F48" s="178">
        <v>9.0</v>
      </c>
      <c r="G48" s="235" t="b">
        <v>0</v>
      </c>
      <c r="H48" s="235" t="b">
        <v>0</v>
      </c>
      <c r="I48" s="235" t="b">
        <v>0</v>
      </c>
      <c r="J48" s="244"/>
      <c r="K48" s="202"/>
      <c r="L48" s="202"/>
      <c r="M48" s="165"/>
      <c r="N48" s="165"/>
      <c r="O48" s="165"/>
    </row>
    <row r="49" ht="32.25" customHeight="1">
      <c r="A49" s="178">
        <v>705.0</v>
      </c>
      <c r="B49" s="231" t="s">
        <v>249</v>
      </c>
      <c r="C49" s="164" t="s">
        <v>252</v>
      </c>
      <c r="D49" s="180">
        <v>244593.0</v>
      </c>
      <c r="E49" s="245">
        <v>244602.0</v>
      </c>
      <c r="F49" s="178">
        <v>9.0</v>
      </c>
      <c r="G49" s="235" t="b">
        <v>0</v>
      </c>
      <c r="H49" s="235" t="b">
        <v>0</v>
      </c>
      <c r="I49" s="235" t="b">
        <v>0</v>
      </c>
      <c r="J49" s="244"/>
      <c r="K49" s="202"/>
      <c r="L49" s="202"/>
      <c r="M49" s="165"/>
      <c r="N49" s="165"/>
      <c r="O49" s="165"/>
    </row>
    <row r="50" ht="32.25" customHeight="1">
      <c r="A50" s="178">
        <v>706.0</v>
      </c>
      <c r="B50" s="231" t="s">
        <v>249</v>
      </c>
      <c r="C50" s="164" t="s">
        <v>252</v>
      </c>
      <c r="D50" s="180">
        <v>244593.0</v>
      </c>
      <c r="E50" s="245">
        <v>244602.0</v>
      </c>
      <c r="F50" s="178">
        <v>9.0</v>
      </c>
      <c r="G50" s="235" t="b">
        <v>0</v>
      </c>
      <c r="H50" s="235" t="b">
        <v>0</v>
      </c>
      <c r="I50" s="235" t="b">
        <v>0</v>
      </c>
      <c r="J50" s="244"/>
      <c r="K50" s="202"/>
      <c r="L50" s="202"/>
      <c r="M50" s="165"/>
      <c r="N50" s="165"/>
      <c r="O50" s="165"/>
    </row>
    <row r="51" ht="32.25" customHeight="1">
      <c r="A51" s="178">
        <v>707.0</v>
      </c>
      <c r="B51" s="164" t="s">
        <v>54</v>
      </c>
      <c r="C51" s="164" t="s">
        <v>252</v>
      </c>
      <c r="D51" s="180">
        <v>244593.0</v>
      </c>
      <c r="E51" s="245">
        <v>244602.0</v>
      </c>
      <c r="F51" s="178">
        <v>9.0</v>
      </c>
      <c r="G51" s="235" t="b">
        <v>0</v>
      </c>
      <c r="H51" s="235" t="b">
        <v>0</v>
      </c>
      <c r="I51" s="235" t="b">
        <v>0</v>
      </c>
      <c r="J51" s="244"/>
      <c r="K51" s="202"/>
      <c r="L51" s="202"/>
      <c r="M51" s="165"/>
      <c r="N51" s="165"/>
      <c r="O51" s="165"/>
    </row>
    <row r="52" ht="32.25" customHeight="1">
      <c r="A52" s="178">
        <v>708.0</v>
      </c>
      <c r="B52" s="164" t="s">
        <v>254</v>
      </c>
      <c r="C52" s="164" t="s">
        <v>252</v>
      </c>
      <c r="D52" s="180">
        <v>244593.0</v>
      </c>
      <c r="E52" s="245">
        <v>244602.0</v>
      </c>
      <c r="F52" s="178">
        <v>9.0</v>
      </c>
      <c r="G52" s="235" t="b">
        <v>0</v>
      </c>
      <c r="H52" s="235" t="b">
        <v>0</v>
      </c>
      <c r="I52" s="235" t="b">
        <v>0</v>
      </c>
      <c r="J52" s="244"/>
      <c r="K52" s="202"/>
      <c r="L52" s="202"/>
      <c r="M52" s="165"/>
      <c r="N52" s="165"/>
      <c r="O52" s="165"/>
    </row>
    <row r="53" ht="32.25" customHeight="1">
      <c r="A53" s="178">
        <v>709.0</v>
      </c>
      <c r="B53" s="164" t="s">
        <v>255</v>
      </c>
      <c r="C53" s="231" t="s">
        <v>250</v>
      </c>
      <c r="D53" s="180">
        <v>244601.0</v>
      </c>
      <c r="E53" s="245">
        <v>244602.0</v>
      </c>
      <c r="F53" s="178">
        <v>1.0</v>
      </c>
      <c r="G53" s="235" t="b">
        <v>0</v>
      </c>
      <c r="H53" s="235" t="b">
        <v>0</v>
      </c>
      <c r="I53" s="235" t="b">
        <v>0</v>
      </c>
      <c r="J53" s="244"/>
      <c r="K53" s="202"/>
      <c r="L53" s="202"/>
      <c r="M53" s="165"/>
      <c r="N53" s="165"/>
      <c r="O53" s="165"/>
    </row>
    <row r="54" ht="32.25" customHeight="1">
      <c r="A54" s="178">
        <v>710.0</v>
      </c>
      <c r="B54" s="164" t="s">
        <v>254</v>
      </c>
      <c r="C54" s="231" t="s">
        <v>250</v>
      </c>
      <c r="D54" s="180">
        <v>244601.0</v>
      </c>
      <c r="E54" s="245">
        <v>244602.0</v>
      </c>
      <c r="F54" s="178">
        <v>1.0</v>
      </c>
      <c r="G54" s="235" t="b">
        <v>0</v>
      </c>
      <c r="H54" s="235" t="b">
        <v>0</v>
      </c>
      <c r="I54" s="235" t="b">
        <v>0</v>
      </c>
      <c r="J54" s="244"/>
      <c r="K54" s="202"/>
      <c r="L54" s="202"/>
      <c r="M54" s="165"/>
      <c r="N54" s="165"/>
      <c r="O54" s="165"/>
    </row>
    <row r="55" ht="32.25" customHeight="1">
      <c r="A55" s="178">
        <v>711.0</v>
      </c>
      <c r="B55" s="164" t="s">
        <v>254</v>
      </c>
      <c r="C55" s="231" t="s">
        <v>250</v>
      </c>
      <c r="D55" s="180">
        <v>244601.0</v>
      </c>
      <c r="E55" s="245">
        <v>244602.0</v>
      </c>
      <c r="F55" s="178">
        <v>1.0</v>
      </c>
      <c r="G55" s="235" t="b">
        <v>0</v>
      </c>
      <c r="H55" s="235" t="b">
        <v>0</v>
      </c>
      <c r="I55" s="235" t="b">
        <v>0</v>
      </c>
      <c r="J55" s="244"/>
      <c r="K55" s="202"/>
      <c r="L55" s="202"/>
      <c r="M55" s="165"/>
      <c r="N55" s="165"/>
      <c r="O55" s="165"/>
    </row>
    <row r="56" ht="32.25" customHeight="1">
      <c r="A56" s="178">
        <v>712.0</v>
      </c>
      <c r="B56" s="164" t="s">
        <v>254</v>
      </c>
      <c r="C56" s="231" t="s">
        <v>250</v>
      </c>
      <c r="D56" s="180">
        <v>244601.0</v>
      </c>
      <c r="E56" s="245">
        <v>244602.0</v>
      </c>
      <c r="F56" s="178">
        <v>1.0</v>
      </c>
      <c r="G56" s="235" t="b">
        <v>0</v>
      </c>
      <c r="H56" s="235" t="b">
        <v>0</v>
      </c>
      <c r="I56" s="235" t="b">
        <v>0</v>
      </c>
      <c r="J56" s="244"/>
      <c r="K56" s="202"/>
      <c r="L56" s="202"/>
      <c r="M56" s="165"/>
      <c r="N56" s="165"/>
      <c r="O56" s="165"/>
    </row>
    <row r="57" ht="32.25" customHeight="1">
      <c r="A57" s="178">
        <v>713.0</v>
      </c>
      <c r="B57" s="164" t="s">
        <v>254</v>
      </c>
      <c r="C57" s="231" t="s">
        <v>250</v>
      </c>
      <c r="D57" s="180">
        <v>244601.0</v>
      </c>
      <c r="E57" s="245">
        <v>244602.0</v>
      </c>
      <c r="F57" s="178">
        <v>1.0</v>
      </c>
      <c r="G57" s="235" t="b">
        <v>0</v>
      </c>
      <c r="H57" s="235" t="b">
        <v>0</v>
      </c>
      <c r="I57" s="235" t="b">
        <v>0</v>
      </c>
      <c r="J57" s="244"/>
      <c r="K57" s="202"/>
      <c r="L57" s="202"/>
      <c r="M57" s="165"/>
      <c r="N57" s="165"/>
      <c r="O57" s="165"/>
    </row>
    <row r="58" ht="32.25" customHeight="1">
      <c r="A58" s="178">
        <v>714.0</v>
      </c>
      <c r="B58" s="164" t="s">
        <v>254</v>
      </c>
      <c r="C58" s="231" t="s">
        <v>250</v>
      </c>
      <c r="D58" s="180">
        <v>244601.0</v>
      </c>
      <c r="E58" s="245">
        <v>244602.0</v>
      </c>
      <c r="F58" s="178">
        <v>1.0</v>
      </c>
      <c r="G58" s="235" t="b">
        <v>0</v>
      </c>
      <c r="H58" s="235" t="b">
        <v>0</v>
      </c>
      <c r="I58" s="235" t="b">
        <v>0</v>
      </c>
      <c r="J58" s="244"/>
      <c r="K58" s="202"/>
      <c r="L58" s="202"/>
      <c r="M58" s="165"/>
      <c r="N58" s="165"/>
      <c r="O58" s="165"/>
    </row>
    <row r="59" ht="32.25" customHeight="1">
      <c r="A59" s="178">
        <v>715.0</v>
      </c>
      <c r="B59" s="164" t="s">
        <v>254</v>
      </c>
      <c r="C59" s="231" t="s">
        <v>250</v>
      </c>
      <c r="D59" s="180">
        <v>244601.0</v>
      </c>
      <c r="E59" s="245">
        <v>244602.0</v>
      </c>
      <c r="F59" s="178">
        <v>1.0</v>
      </c>
      <c r="G59" s="235" t="b">
        <v>0</v>
      </c>
      <c r="H59" s="235" t="b">
        <v>0</v>
      </c>
      <c r="I59" s="235" t="b">
        <v>0</v>
      </c>
      <c r="J59" s="244"/>
      <c r="K59" s="202"/>
      <c r="L59" s="202"/>
      <c r="M59" s="165"/>
      <c r="N59" s="165"/>
      <c r="O59" s="165"/>
    </row>
    <row r="60" ht="32.25" customHeight="1">
      <c r="A60" s="178">
        <v>716.0</v>
      </c>
      <c r="B60" s="164" t="s">
        <v>254</v>
      </c>
      <c r="C60" s="231" t="s">
        <v>250</v>
      </c>
      <c r="D60" s="180">
        <v>244601.0</v>
      </c>
      <c r="E60" s="245">
        <v>244602.0</v>
      </c>
      <c r="F60" s="178">
        <v>1.0</v>
      </c>
      <c r="G60" s="235" t="b">
        <v>0</v>
      </c>
      <c r="H60" s="235" t="b">
        <v>0</v>
      </c>
      <c r="I60" s="235" t="b">
        <v>0</v>
      </c>
      <c r="J60" s="244"/>
      <c r="K60" s="202"/>
      <c r="L60" s="202"/>
      <c r="M60" s="165"/>
      <c r="N60" s="165"/>
      <c r="O60" s="165"/>
    </row>
    <row r="61" ht="32.25" customHeight="1">
      <c r="A61" s="178">
        <v>717.0</v>
      </c>
      <c r="B61" s="164" t="s">
        <v>254</v>
      </c>
      <c r="C61" s="231" t="s">
        <v>250</v>
      </c>
      <c r="D61" s="180">
        <v>244601.0</v>
      </c>
      <c r="E61" s="245">
        <v>244602.0</v>
      </c>
      <c r="F61" s="178">
        <v>1.0</v>
      </c>
      <c r="G61" s="235" t="b">
        <v>0</v>
      </c>
      <c r="H61" s="235" t="b">
        <v>0</v>
      </c>
      <c r="I61" s="235" t="b">
        <v>0</v>
      </c>
      <c r="J61" s="244"/>
      <c r="K61" s="202"/>
      <c r="L61" s="202"/>
      <c r="M61" s="165"/>
      <c r="N61" s="165"/>
      <c r="O61" s="165"/>
    </row>
    <row r="62" ht="32.25" customHeight="1">
      <c r="A62" s="178">
        <v>718.0</v>
      </c>
      <c r="B62" s="164" t="s">
        <v>54</v>
      </c>
      <c r="C62" s="231" t="s">
        <v>250</v>
      </c>
      <c r="D62" s="180">
        <v>244601.0</v>
      </c>
      <c r="E62" s="245">
        <v>244603.0</v>
      </c>
      <c r="F62" s="178">
        <v>2.0</v>
      </c>
      <c r="G62" s="235" t="b">
        <v>0</v>
      </c>
      <c r="H62" s="235" t="b">
        <v>0</v>
      </c>
      <c r="I62" s="235" t="b">
        <v>0</v>
      </c>
      <c r="J62" s="244"/>
      <c r="K62" s="202"/>
      <c r="L62" s="202"/>
      <c r="M62" s="165"/>
      <c r="N62" s="165"/>
      <c r="O62" s="165"/>
    </row>
    <row r="63" ht="32.25" customHeight="1">
      <c r="A63" s="178">
        <v>719.0</v>
      </c>
      <c r="B63" s="231" t="s">
        <v>249</v>
      </c>
      <c r="C63" s="231" t="s">
        <v>250</v>
      </c>
      <c r="D63" s="180">
        <v>244601.0</v>
      </c>
      <c r="E63" s="245">
        <v>244602.0</v>
      </c>
      <c r="F63" s="178">
        <v>1.0</v>
      </c>
      <c r="G63" s="235" t="b">
        <v>0</v>
      </c>
      <c r="H63" s="235" t="b">
        <v>0</v>
      </c>
      <c r="I63" s="235" t="b">
        <v>0</v>
      </c>
      <c r="J63" s="244"/>
      <c r="K63" s="202"/>
      <c r="L63" s="202"/>
      <c r="M63" s="165"/>
      <c r="N63" s="165"/>
      <c r="O63" s="165"/>
    </row>
    <row r="64" ht="32.25" customHeight="1">
      <c r="A64" s="178">
        <v>720.0</v>
      </c>
      <c r="B64" s="231" t="s">
        <v>249</v>
      </c>
      <c r="C64" s="231" t="s">
        <v>250</v>
      </c>
      <c r="D64" s="180">
        <v>244601.0</v>
      </c>
      <c r="E64" s="245">
        <v>244602.0</v>
      </c>
      <c r="F64" s="178">
        <v>1.0</v>
      </c>
      <c r="G64" s="235" t="b">
        <v>0</v>
      </c>
      <c r="H64" s="235" t="b">
        <v>0</v>
      </c>
      <c r="I64" s="235" t="b">
        <v>0</v>
      </c>
      <c r="J64" s="244"/>
      <c r="K64" s="202"/>
      <c r="L64" s="202"/>
      <c r="M64" s="165"/>
      <c r="N64" s="165"/>
      <c r="O64" s="165"/>
    </row>
    <row r="65" ht="32.25" customHeight="1">
      <c r="A65" s="178">
        <v>801.0</v>
      </c>
      <c r="B65" s="231" t="s">
        <v>256</v>
      </c>
      <c r="C65" s="231" t="s">
        <v>250</v>
      </c>
      <c r="D65" s="180">
        <v>244601.0</v>
      </c>
      <c r="E65" s="245">
        <v>244602.0</v>
      </c>
      <c r="F65" s="178">
        <v>1.0</v>
      </c>
      <c r="G65" s="235" t="b">
        <v>0</v>
      </c>
      <c r="H65" s="235" t="b">
        <v>0</v>
      </c>
      <c r="I65" s="235" t="b">
        <v>0</v>
      </c>
      <c r="J65" s="244"/>
      <c r="K65" s="202"/>
      <c r="L65" s="202"/>
      <c r="M65" s="165"/>
      <c r="N65" s="165"/>
      <c r="O65" s="165"/>
    </row>
    <row r="66" ht="32.25" customHeight="1">
      <c r="A66" s="178">
        <v>802.0</v>
      </c>
      <c r="B66" s="231" t="s">
        <v>256</v>
      </c>
      <c r="C66" s="231" t="s">
        <v>250</v>
      </c>
      <c r="D66" s="180">
        <v>244601.0</v>
      </c>
      <c r="E66" s="245">
        <v>244602.0</v>
      </c>
      <c r="F66" s="178">
        <v>1.0</v>
      </c>
      <c r="G66" s="235" t="b">
        <v>0</v>
      </c>
      <c r="H66" s="235" t="b">
        <v>0</v>
      </c>
      <c r="I66" s="235" t="b">
        <v>0</v>
      </c>
      <c r="J66" s="244"/>
      <c r="K66" s="202"/>
      <c r="L66" s="202"/>
      <c r="M66" s="165"/>
      <c r="N66" s="165"/>
      <c r="O66" s="165"/>
    </row>
    <row r="67" ht="32.25" customHeight="1">
      <c r="A67" s="178">
        <v>803.0</v>
      </c>
      <c r="B67" s="231" t="s">
        <v>256</v>
      </c>
      <c r="C67" s="238" t="s">
        <v>251</v>
      </c>
      <c r="D67" s="180">
        <v>244600.0</v>
      </c>
      <c r="E67" s="245">
        <v>244601.0</v>
      </c>
      <c r="F67" s="178">
        <v>1.0</v>
      </c>
      <c r="G67" s="235" t="b">
        <v>0</v>
      </c>
      <c r="H67" s="235" t="b">
        <v>0</v>
      </c>
      <c r="I67" s="235" t="b">
        <v>0</v>
      </c>
      <c r="J67" s="244"/>
      <c r="K67" s="202"/>
      <c r="L67" s="202"/>
      <c r="M67" s="165"/>
      <c r="N67" s="165"/>
      <c r="O67" s="165"/>
    </row>
    <row r="68" ht="32.25" customHeight="1">
      <c r="A68" s="178">
        <v>804.0</v>
      </c>
      <c r="B68" s="231" t="s">
        <v>256</v>
      </c>
      <c r="C68" s="238" t="s">
        <v>251</v>
      </c>
      <c r="D68" s="180">
        <v>244600.0</v>
      </c>
      <c r="E68" s="245">
        <v>244601.0</v>
      </c>
      <c r="F68" s="178">
        <v>1.0</v>
      </c>
      <c r="G68" s="235" t="b">
        <v>0</v>
      </c>
      <c r="H68" s="235" t="b">
        <v>0</v>
      </c>
      <c r="I68" s="235" t="b">
        <v>0</v>
      </c>
      <c r="J68" s="244"/>
      <c r="K68" s="202"/>
      <c r="L68" s="202"/>
      <c r="M68" s="165"/>
      <c r="N68" s="165"/>
      <c r="O68" s="165"/>
    </row>
    <row r="69" ht="32.25" customHeight="1">
      <c r="A69" s="178">
        <v>805.0</v>
      </c>
      <c r="B69" s="231" t="s">
        <v>256</v>
      </c>
      <c r="C69" s="238" t="s">
        <v>251</v>
      </c>
      <c r="D69" s="180">
        <v>244600.0</v>
      </c>
      <c r="E69" s="245">
        <v>244601.0</v>
      </c>
      <c r="F69" s="178">
        <v>1.0</v>
      </c>
      <c r="G69" s="235" t="b">
        <v>0</v>
      </c>
      <c r="H69" s="235" t="b">
        <v>0</v>
      </c>
      <c r="I69" s="235" t="b">
        <v>0</v>
      </c>
      <c r="J69" s="244"/>
      <c r="K69" s="202"/>
      <c r="L69" s="202"/>
      <c r="M69" s="165"/>
      <c r="N69" s="165"/>
      <c r="O69" s="165"/>
    </row>
    <row r="70" ht="32.25" customHeight="1">
      <c r="A70" s="178">
        <v>806.0</v>
      </c>
      <c r="B70" s="231" t="s">
        <v>256</v>
      </c>
      <c r="C70" s="238" t="s">
        <v>251</v>
      </c>
      <c r="D70" s="180">
        <v>244600.0</v>
      </c>
      <c r="E70" s="245">
        <v>244601.0</v>
      </c>
      <c r="F70" s="178">
        <v>1.0</v>
      </c>
      <c r="G70" s="235" t="b">
        <v>0</v>
      </c>
      <c r="H70" s="235" t="b">
        <v>0</v>
      </c>
      <c r="I70" s="235" t="b">
        <v>0</v>
      </c>
      <c r="J70" s="244"/>
      <c r="K70" s="202"/>
      <c r="L70" s="202"/>
      <c r="M70" s="165"/>
      <c r="N70" s="165"/>
      <c r="O70" s="165"/>
    </row>
    <row r="71" ht="32.25" customHeight="1">
      <c r="A71" s="178">
        <v>807.0</v>
      </c>
      <c r="B71" s="164" t="s">
        <v>54</v>
      </c>
      <c r="C71" s="238" t="s">
        <v>251</v>
      </c>
      <c r="D71" s="180">
        <v>244600.0</v>
      </c>
      <c r="E71" s="245">
        <v>244601.0</v>
      </c>
      <c r="F71" s="178">
        <v>1.0</v>
      </c>
      <c r="G71" s="235" t="b">
        <v>0</v>
      </c>
      <c r="H71" s="235" t="b">
        <v>0</v>
      </c>
      <c r="I71" s="235" t="b">
        <v>0</v>
      </c>
      <c r="J71" s="244"/>
      <c r="K71" s="202"/>
      <c r="L71" s="202"/>
      <c r="M71" s="165"/>
      <c r="N71" s="165"/>
      <c r="O71" s="165"/>
    </row>
    <row r="72" ht="32.25" customHeight="1">
      <c r="A72" s="178">
        <v>808.0</v>
      </c>
      <c r="B72" s="164" t="s">
        <v>257</v>
      </c>
      <c r="C72" s="238" t="s">
        <v>251</v>
      </c>
      <c r="D72" s="180">
        <v>244600.0</v>
      </c>
      <c r="E72" s="245">
        <v>244601.0</v>
      </c>
      <c r="F72" s="178">
        <v>1.0</v>
      </c>
      <c r="G72" s="235" t="b">
        <v>0</v>
      </c>
      <c r="H72" s="235" t="b">
        <v>0</v>
      </c>
      <c r="I72" s="235" t="b">
        <v>0</v>
      </c>
      <c r="J72" s="244"/>
      <c r="K72" s="202"/>
      <c r="L72" s="202"/>
      <c r="M72" s="165"/>
      <c r="N72" s="165"/>
      <c r="O72" s="165"/>
    </row>
    <row r="73" ht="32.25" customHeight="1">
      <c r="A73" s="178">
        <v>809.0</v>
      </c>
      <c r="B73" s="164" t="s">
        <v>255</v>
      </c>
      <c r="C73" s="238" t="s">
        <v>251</v>
      </c>
      <c r="D73" s="180">
        <v>244600.0</v>
      </c>
      <c r="E73" s="245">
        <v>244601.0</v>
      </c>
      <c r="F73" s="178">
        <v>1.0</v>
      </c>
      <c r="G73" s="235" t="b">
        <v>0</v>
      </c>
      <c r="H73" s="235" t="b">
        <v>0</v>
      </c>
      <c r="I73" s="235" t="b">
        <v>0</v>
      </c>
      <c r="J73" s="244"/>
      <c r="K73" s="202"/>
      <c r="L73" s="202"/>
      <c r="M73" s="165"/>
      <c r="N73" s="165"/>
      <c r="O73" s="165"/>
    </row>
    <row r="74" ht="32.25" customHeight="1">
      <c r="A74" s="178">
        <v>810.0</v>
      </c>
      <c r="B74" s="164" t="s">
        <v>257</v>
      </c>
      <c r="C74" s="238" t="s">
        <v>251</v>
      </c>
      <c r="D74" s="180">
        <v>244600.0</v>
      </c>
      <c r="E74" s="245">
        <v>244601.0</v>
      </c>
      <c r="F74" s="178">
        <v>1.0</v>
      </c>
      <c r="G74" s="235" t="b">
        <v>0</v>
      </c>
      <c r="H74" s="235" t="b">
        <v>0</v>
      </c>
      <c r="I74" s="235" t="b">
        <v>0</v>
      </c>
      <c r="J74" s="244"/>
      <c r="K74" s="202"/>
      <c r="L74" s="202"/>
      <c r="M74" s="165"/>
      <c r="N74" s="165"/>
      <c r="O74" s="165"/>
    </row>
    <row r="75" ht="32.25" customHeight="1">
      <c r="A75" s="178">
        <v>811.0</v>
      </c>
      <c r="B75" s="164" t="s">
        <v>257</v>
      </c>
      <c r="C75" s="238" t="s">
        <v>251</v>
      </c>
      <c r="D75" s="180">
        <v>244600.0</v>
      </c>
      <c r="E75" s="245">
        <v>244601.0</v>
      </c>
      <c r="F75" s="178">
        <v>1.0</v>
      </c>
      <c r="G75" s="235" t="b">
        <v>0</v>
      </c>
      <c r="H75" s="235" t="b">
        <v>0</v>
      </c>
      <c r="I75" s="235" t="b">
        <v>0</v>
      </c>
      <c r="J75" s="244"/>
      <c r="K75" s="202"/>
      <c r="L75" s="202"/>
      <c r="M75" s="165"/>
      <c r="N75" s="165"/>
      <c r="O75" s="165"/>
    </row>
    <row r="76" ht="32.25" customHeight="1">
      <c r="A76" s="178">
        <v>812.0</v>
      </c>
      <c r="B76" s="164" t="s">
        <v>257</v>
      </c>
      <c r="C76" s="231" t="s">
        <v>250</v>
      </c>
      <c r="D76" s="180">
        <v>244601.0</v>
      </c>
      <c r="E76" s="245">
        <v>244602.0</v>
      </c>
      <c r="F76" s="178">
        <v>1.0</v>
      </c>
      <c r="G76" s="235" t="b">
        <v>0</v>
      </c>
      <c r="H76" s="235" t="b">
        <v>0</v>
      </c>
      <c r="I76" s="235" t="b">
        <v>0</v>
      </c>
      <c r="J76" s="244"/>
      <c r="K76" s="202"/>
      <c r="L76" s="202"/>
      <c r="M76" s="165"/>
      <c r="N76" s="165"/>
      <c r="O76" s="165"/>
    </row>
    <row r="77" ht="32.25" customHeight="1">
      <c r="A77" s="178">
        <v>813.0</v>
      </c>
      <c r="B77" s="164" t="s">
        <v>257</v>
      </c>
      <c r="C77" s="231" t="s">
        <v>250</v>
      </c>
      <c r="D77" s="180">
        <v>244601.0</v>
      </c>
      <c r="E77" s="245">
        <v>244602.0</v>
      </c>
      <c r="F77" s="178">
        <v>1.0</v>
      </c>
      <c r="G77" s="235" t="b">
        <v>0</v>
      </c>
      <c r="H77" s="235" t="b">
        <v>0</v>
      </c>
      <c r="I77" s="235" t="b">
        <v>0</v>
      </c>
      <c r="J77" s="244"/>
      <c r="K77" s="202"/>
      <c r="L77" s="202"/>
      <c r="M77" s="165"/>
      <c r="N77" s="165"/>
      <c r="O77" s="165"/>
    </row>
    <row r="78" ht="32.25" customHeight="1">
      <c r="A78" s="178">
        <v>814.0</v>
      </c>
      <c r="B78" s="164" t="s">
        <v>257</v>
      </c>
      <c r="C78" s="231" t="s">
        <v>250</v>
      </c>
      <c r="D78" s="180">
        <v>244601.0</v>
      </c>
      <c r="E78" s="245">
        <v>244602.0</v>
      </c>
      <c r="F78" s="178">
        <v>1.0</v>
      </c>
      <c r="G78" s="235" t="b">
        <v>0</v>
      </c>
      <c r="H78" s="235" t="b">
        <v>0</v>
      </c>
      <c r="I78" s="235" t="b">
        <v>0</v>
      </c>
      <c r="J78" s="244"/>
      <c r="K78" s="202"/>
      <c r="L78" s="202"/>
      <c r="M78" s="165"/>
      <c r="N78" s="165"/>
      <c r="O78" s="165"/>
    </row>
    <row r="79" ht="32.25" customHeight="1">
      <c r="A79" s="178">
        <v>815.0</v>
      </c>
      <c r="B79" s="164" t="s">
        <v>257</v>
      </c>
      <c r="C79" s="231" t="s">
        <v>250</v>
      </c>
      <c r="D79" s="180">
        <v>244601.0</v>
      </c>
      <c r="E79" s="245">
        <v>244602.0</v>
      </c>
      <c r="F79" s="178">
        <v>1.0</v>
      </c>
      <c r="G79" s="235" t="b">
        <v>0</v>
      </c>
      <c r="H79" s="235" t="b">
        <v>0</v>
      </c>
      <c r="I79" s="235" t="b">
        <v>0</v>
      </c>
      <c r="J79" s="244"/>
      <c r="K79" s="202"/>
      <c r="L79" s="202"/>
      <c r="M79" s="165"/>
      <c r="N79" s="165"/>
      <c r="O79" s="165"/>
    </row>
    <row r="80" ht="32.25" customHeight="1">
      <c r="A80" s="178">
        <v>816.0</v>
      </c>
      <c r="B80" s="164" t="s">
        <v>257</v>
      </c>
      <c r="C80" s="231" t="s">
        <v>250</v>
      </c>
      <c r="D80" s="180">
        <v>244601.0</v>
      </c>
      <c r="E80" s="245">
        <v>244602.0</v>
      </c>
      <c r="F80" s="178">
        <v>1.0</v>
      </c>
      <c r="G80" s="235" t="b">
        <v>0</v>
      </c>
      <c r="H80" s="235" t="b">
        <v>0</v>
      </c>
      <c r="I80" s="235" t="b">
        <v>0</v>
      </c>
      <c r="J80" s="244"/>
      <c r="K80" s="202"/>
      <c r="L80" s="202"/>
      <c r="M80" s="165"/>
      <c r="N80" s="165"/>
      <c r="O80" s="165"/>
    </row>
    <row r="81" ht="32.25" customHeight="1">
      <c r="A81" s="178">
        <v>817.0</v>
      </c>
      <c r="B81" s="164" t="s">
        <v>257</v>
      </c>
      <c r="C81" s="231" t="s">
        <v>250</v>
      </c>
      <c r="D81" s="180">
        <v>244601.0</v>
      </c>
      <c r="E81" s="245">
        <v>244602.0</v>
      </c>
      <c r="F81" s="178">
        <v>1.0</v>
      </c>
      <c r="G81" s="235" t="b">
        <v>0</v>
      </c>
      <c r="H81" s="235" t="b">
        <v>0</v>
      </c>
      <c r="I81" s="235" t="b">
        <v>0</v>
      </c>
      <c r="J81" s="244"/>
      <c r="K81" s="202"/>
      <c r="L81" s="202"/>
      <c r="M81" s="165"/>
      <c r="N81" s="165"/>
      <c r="O81" s="165"/>
    </row>
    <row r="82" ht="32.25" customHeight="1">
      <c r="A82" s="178">
        <v>818.0</v>
      </c>
      <c r="B82" s="231" t="s">
        <v>54</v>
      </c>
      <c r="C82" s="231" t="s">
        <v>250</v>
      </c>
      <c r="D82" s="180">
        <v>244601.0</v>
      </c>
      <c r="E82" s="245">
        <v>244602.0</v>
      </c>
      <c r="F82" s="178">
        <v>1.0</v>
      </c>
      <c r="G82" s="235" t="b">
        <v>0</v>
      </c>
      <c r="H82" s="235" t="b">
        <v>0</v>
      </c>
      <c r="I82" s="235" t="b">
        <v>0</v>
      </c>
      <c r="J82" s="244"/>
      <c r="K82" s="202"/>
      <c r="L82" s="202"/>
      <c r="M82" s="165"/>
      <c r="N82" s="165"/>
      <c r="O82" s="165"/>
    </row>
    <row r="83" ht="32.25" customHeight="1">
      <c r="A83" s="178">
        <v>819.0</v>
      </c>
      <c r="B83" s="231" t="s">
        <v>256</v>
      </c>
      <c r="C83" s="231" t="s">
        <v>250</v>
      </c>
      <c r="D83" s="180">
        <v>244601.0</v>
      </c>
      <c r="E83" s="245">
        <v>244602.0</v>
      </c>
      <c r="F83" s="178">
        <v>1.0</v>
      </c>
      <c r="G83" s="235" t="b">
        <v>0</v>
      </c>
      <c r="H83" s="235" t="b">
        <v>0</v>
      </c>
      <c r="I83" s="235" t="b">
        <v>0</v>
      </c>
      <c r="J83" s="244"/>
      <c r="K83" s="202"/>
      <c r="L83" s="202"/>
      <c r="M83" s="165"/>
      <c r="N83" s="165"/>
      <c r="O83" s="165"/>
    </row>
    <row r="84" ht="32.25" customHeight="1">
      <c r="A84" s="178">
        <v>820.0</v>
      </c>
      <c r="B84" s="231" t="s">
        <v>256</v>
      </c>
      <c r="C84" s="231" t="s">
        <v>250</v>
      </c>
      <c r="D84" s="180">
        <v>244601.0</v>
      </c>
      <c r="E84" s="245">
        <v>244602.0</v>
      </c>
      <c r="F84" s="178">
        <v>1.0</v>
      </c>
      <c r="G84" s="235" t="b">
        <v>0</v>
      </c>
      <c r="H84" s="235" t="b">
        <v>0</v>
      </c>
      <c r="I84" s="235" t="b">
        <v>0</v>
      </c>
      <c r="J84" s="244"/>
      <c r="K84" s="202"/>
      <c r="L84" s="202"/>
      <c r="M84" s="165"/>
      <c r="N84" s="165"/>
      <c r="O84" s="165"/>
    </row>
    <row r="85" ht="32.25" customHeight="1">
      <c r="A85" s="178">
        <v>901.0</v>
      </c>
      <c r="B85" s="231" t="s">
        <v>249</v>
      </c>
      <c r="C85" s="231" t="s">
        <v>250</v>
      </c>
      <c r="D85" s="180">
        <v>244601.0</v>
      </c>
      <c r="E85" s="245">
        <v>244602.0</v>
      </c>
      <c r="F85" s="178">
        <v>1.0</v>
      </c>
      <c r="G85" s="235" t="b">
        <v>0</v>
      </c>
      <c r="H85" s="235" t="b">
        <v>0</v>
      </c>
      <c r="I85" s="235" t="b">
        <v>0</v>
      </c>
      <c r="J85" s="244"/>
      <c r="K85" s="202"/>
      <c r="L85" s="202"/>
      <c r="M85" s="165"/>
      <c r="N85" s="165"/>
      <c r="O85" s="165"/>
    </row>
    <row r="86" ht="32.25" customHeight="1">
      <c r="A86" s="178">
        <v>902.0</v>
      </c>
      <c r="B86" s="231" t="s">
        <v>249</v>
      </c>
      <c r="C86" s="231" t="s">
        <v>250</v>
      </c>
      <c r="D86" s="180">
        <v>244601.0</v>
      </c>
      <c r="E86" s="245">
        <v>244602.0</v>
      </c>
      <c r="F86" s="178">
        <v>1.0</v>
      </c>
      <c r="G86" s="235" t="b">
        <v>0</v>
      </c>
      <c r="H86" s="235" t="b">
        <v>0</v>
      </c>
      <c r="I86" s="235" t="b">
        <v>0</v>
      </c>
      <c r="J86" s="244"/>
      <c r="K86" s="202"/>
      <c r="L86" s="202"/>
      <c r="M86" s="165"/>
      <c r="N86" s="165"/>
      <c r="O86" s="165"/>
    </row>
    <row r="87" ht="32.25" customHeight="1">
      <c r="A87" s="178">
        <v>903.0</v>
      </c>
      <c r="B87" s="231" t="s">
        <v>249</v>
      </c>
      <c r="C87" s="231" t="s">
        <v>250</v>
      </c>
      <c r="D87" s="180">
        <v>244601.0</v>
      </c>
      <c r="E87" s="245">
        <v>244602.0</v>
      </c>
      <c r="F87" s="178">
        <v>1.0</v>
      </c>
      <c r="G87" s="235" t="b">
        <v>0</v>
      </c>
      <c r="H87" s="235" t="b">
        <v>0</v>
      </c>
      <c r="I87" s="235" t="b">
        <v>0</v>
      </c>
      <c r="J87" s="244"/>
      <c r="K87" s="202"/>
      <c r="L87" s="202"/>
      <c r="M87" s="165"/>
      <c r="N87" s="165"/>
      <c r="O87" s="165"/>
    </row>
    <row r="88" ht="32.25" customHeight="1">
      <c r="A88" s="178">
        <v>904.0</v>
      </c>
      <c r="B88" s="231" t="s">
        <v>249</v>
      </c>
      <c r="C88" s="231" t="s">
        <v>250</v>
      </c>
      <c r="D88" s="180">
        <v>244601.0</v>
      </c>
      <c r="E88" s="245">
        <v>244602.0</v>
      </c>
      <c r="F88" s="178">
        <v>1.0</v>
      </c>
      <c r="G88" s="235" t="b">
        <v>0</v>
      </c>
      <c r="H88" s="235" t="b">
        <v>0</v>
      </c>
      <c r="I88" s="235" t="b">
        <v>0</v>
      </c>
      <c r="J88" s="244"/>
      <c r="K88" s="202"/>
      <c r="L88" s="202"/>
      <c r="M88" s="165"/>
      <c r="N88" s="165"/>
      <c r="O88" s="165"/>
    </row>
    <row r="89" ht="32.25" customHeight="1">
      <c r="A89" s="178">
        <v>905.0</v>
      </c>
      <c r="B89" s="231" t="s">
        <v>249</v>
      </c>
      <c r="C89" s="231" t="s">
        <v>250</v>
      </c>
      <c r="D89" s="180">
        <v>244601.0</v>
      </c>
      <c r="E89" s="245">
        <v>244602.0</v>
      </c>
      <c r="F89" s="178">
        <v>1.0</v>
      </c>
      <c r="G89" s="235" t="b">
        <v>0</v>
      </c>
      <c r="H89" s="235" t="b">
        <v>0</v>
      </c>
      <c r="I89" s="235" t="b">
        <v>0</v>
      </c>
      <c r="J89" s="244"/>
      <c r="K89" s="202"/>
      <c r="L89" s="202"/>
      <c r="M89" s="165"/>
      <c r="N89" s="165"/>
      <c r="O89" s="165"/>
    </row>
    <row r="90" ht="32.25" customHeight="1">
      <c r="A90" s="178">
        <v>906.0</v>
      </c>
      <c r="B90" s="231" t="s">
        <v>249</v>
      </c>
      <c r="C90" s="231" t="s">
        <v>250</v>
      </c>
      <c r="D90" s="180">
        <v>244601.0</v>
      </c>
      <c r="E90" s="245">
        <v>244602.0</v>
      </c>
      <c r="F90" s="178">
        <v>1.0</v>
      </c>
      <c r="G90" s="235" t="b">
        <v>0</v>
      </c>
      <c r="H90" s="235" t="b">
        <v>0</v>
      </c>
      <c r="I90" s="235" t="b">
        <v>0</v>
      </c>
      <c r="J90" s="244"/>
      <c r="K90" s="202"/>
      <c r="L90" s="202"/>
      <c r="M90" s="165"/>
      <c r="N90" s="165"/>
      <c r="O90" s="165"/>
    </row>
    <row r="91" ht="32.25" customHeight="1">
      <c r="A91" s="178">
        <v>907.0</v>
      </c>
      <c r="B91" s="231" t="s">
        <v>54</v>
      </c>
      <c r="C91" s="231" t="s">
        <v>250</v>
      </c>
      <c r="D91" s="180">
        <v>244601.0</v>
      </c>
      <c r="E91" s="245">
        <v>244602.0</v>
      </c>
      <c r="F91" s="178">
        <v>1.0</v>
      </c>
      <c r="G91" s="235" t="b">
        <v>0</v>
      </c>
      <c r="H91" s="235" t="b">
        <v>0</v>
      </c>
      <c r="I91" s="235" t="b">
        <v>0</v>
      </c>
      <c r="J91" s="244"/>
      <c r="K91" s="202"/>
      <c r="L91" s="202"/>
      <c r="M91" s="165"/>
      <c r="N91" s="165"/>
      <c r="O91" s="165"/>
    </row>
    <row r="92" ht="32.25" customHeight="1">
      <c r="A92" s="178">
        <v>908.0</v>
      </c>
      <c r="B92" s="164" t="s">
        <v>254</v>
      </c>
      <c r="C92" s="231" t="s">
        <v>250</v>
      </c>
      <c r="D92" s="180">
        <v>244601.0</v>
      </c>
      <c r="E92" s="245">
        <v>244602.0</v>
      </c>
      <c r="F92" s="178">
        <v>1.0</v>
      </c>
      <c r="G92" s="235" t="b">
        <v>0</v>
      </c>
      <c r="H92" s="235" t="b">
        <v>0</v>
      </c>
      <c r="I92" s="235" t="b">
        <v>0</v>
      </c>
      <c r="J92" s="244"/>
      <c r="K92" s="202"/>
      <c r="L92" s="202"/>
      <c r="M92" s="165"/>
      <c r="N92" s="165"/>
      <c r="O92" s="165"/>
    </row>
    <row r="93" ht="32.25" customHeight="1">
      <c r="A93" s="178">
        <v>909.0</v>
      </c>
      <c r="B93" s="164" t="s">
        <v>255</v>
      </c>
      <c r="C93" s="231" t="s">
        <v>250</v>
      </c>
      <c r="D93" s="180">
        <v>244601.0</v>
      </c>
      <c r="E93" s="245">
        <v>244602.0</v>
      </c>
      <c r="F93" s="178">
        <v>1.0</v>
      </c>
      <c r="G93" s="235" t="b">
        <v>0</v>
      </c>
      <c r="H93" s="235" t="b">
        <v>0</v>
      </c>
      <c r="I93" s="235" t="b">
        <v>0</v>
      </c>
      <c r="J93" s="244"/>
      <c r="K93" s="202"/>
      <c r="L93" s="202"/>
      <c r="M93" s="165"/>
      <c r="N93" s="165"/>
      <c r="O93" s="165"/>
    </row>
    <row r="94" ht="32.25" customHeight="1">
      <c r="A94" s="178">
        <v>910.0</v>
      </c>
      <c r="B94" s="164" t="s">
        <v>254</v>
      </c>
      <c r="C94" s="231" t="s">
        <v>250</v>
      </c>
      <c r="D94" s="180">
        <v>244601.0</v>
      </c>
      <c r="E94" s="245">
        <v>244602.0</v>
      </c>
      <c r="F94" s="178">
        <v>1.0</v>
      </c>
      <c r="G94" s="235" t="b">
        <v>0</v>
      </c>
      <c r="H94" s="235" t="b">
        <v>0</v>
      </c>
      <c r="I94" s="235" t="b">
        <v>0</v>
      </c>
      <c r="J94" s="244"/>
      <c r="K94" s="202"/>
      <c r="L94" s="202"/>
      <c r="M94" s="165"/>
      <c r="N94" s="165"/>
      <c r="O94" s="165"/>
    </row>
    <row r="95" ht="32.25" customHeight="1">
      <c r="A95" s="178">
        <v>911.0</v>
      </c>
      <c r="B95" s="164" t="s">
        <v>254</v>
      </c>
      <c r="C95" s="231" t="s">
        <v>250</v>
      </c>
      <c r="D95" s="180">
        <v>244601.0</v>
      </c>
      <c r="E95" s="245">
        <v>244602.0</v>
      </c>
      <c r="F95" s="178">
        <v>1.0</v>
      </c>
      <c r="G95" s="235" t="b">
        <v>0</v>
      </c>
      <c r="H95" s="235" t="b">
        <v>0</v>
      </c>
      <c r="I95" s="235" t="b">
        <v>0</v>
      </c>
      <c r="J95" s="244"/>
      <c r="K95" s="202"/>
      <c r="L95" s="202"/>
      <c r="M95" s="165"/>
      <c r="N95" s="165"/>
      <c r="O95" s="165"/>
    </row>
    <row r="96" ht="32.25" customHeight="1">
      <c r="A96" s="178">
        <v>912.0</v>
      </c>
      <c r="B96" s="164" t="s">
        <v>254</v>
      </c>
      <c r="C96" s="231" t="s">
        <v>250</v>
      </c>
      <c r="D96" s="180">
        <v>244601.0</v>
      </c>
      <c r="E96" s="245">
        <v>244602.0</v>
      </c>
      <c r="F96" s="178">
        <v>1.0</v>
      </c>
      <c r="G96" s="235" t="b">
        <v>0</v>
      </c>
      <c r="H96" s="235" t="b">
        <v>0</v>
      </c>
      <c r="I96" s="235" t="b">
        <v>0</v>
      </c>
      <c r="J96" s="244"/>
      <c r="K96" s="202"/>
      <c r="L96" s="202"/>
      <c r="M96" s="165"/>
      <c r="N96" s="165"/>
      <c r="O96" s="165"/>
    </row>
    <row r="97" ht="32.25" customHeight="1">
      <c r="A97" s="178">
        <v>913.0</v>
      </c>
      <c r="B97" s="164" t="s">
        <v>254</v>
      </c>
      <c r="C97" s="231" t="s">
        <v>250</v>
      </c>
      <c r="D97" s="180">
        <v>244601.0</v>
      </c>
      <c r="E97" s="245">
        <v>244602.0</v>
      </c>
      <c r="F97" s="178">
        <v>1.0</v>
      </c>
      <c r="G97" s="235" t="b">
        <v>0</v>
      </c>
      <c r="H97" s="235" t="b">
        <v>0</v>
      </c>
      <c r="I97" s="235" t="b">
        <v>0</v>
      </c>
      <c r="J97" s="244"/>
      <c r="K97" s="202"/>
      <c r="L97" s="202"/>
      <c r="M97" s="165"/>
      <c r="N97" s="165"/>
      <c r="O97" s="165"/>
    </row>
    <row r="98" ht="32.25" customHeight="1">
      <c r="A98" s="178">
        <v>914.0</v>
      </c>
      <c r="B98" s="164" t="s">
        <v>254</v>
      </c>
      <c r="C98" s="231" t="s">
        <v>250</v>
      </c>
      <c r="D98" s="180">
        <v>244601.0</v>
      </c>
      <c r="E98" s="245">
        <v>244602.0</v>
      </c>
      <c r="F98" s="178">
        <v>1.0</v>
      </c>
      <c r="G98" s="235" t="b">
        <v>0</v>
      </c>
      <c r="H98" s="235" t="b">
        <v>0</v>
      </c>
      <c r="I98" s="235" t="b">
        <v>0</v>
      </c>
      <c r="J98" s="244"/>
      <c r="K98" s="202"/>
      <c r="L98" s="202"/>
      <c r="M98" s="165"/>
      <c r="N98" s="165"/>
      <c r="O98" s="165"/>
    </row>
    <row r="99" ht="32.25" customHeight="1">
      <c r="A99" s="178">
        <v>915.0</v>
      </c>
      <c r="B99" s="164" t="s">
        <v>254</v>
      </c>
      <c r="C99" s="231" t="s">
        <v>250</v>
      </c>
      <c r="D99" s="180">
        <v>244601.0</v>
      </c>
      <c r="E99" s="245">
        <v>244602.0</v>
      </c>
      <c r="F99" s="178">
        <v>1.0</v>
      </c>
      <c r="G99" s="235" t="b">
        <v>0</v>
      </c>
      <c r="H99" s="235" t="b">
        <v>0</v>
      </c>
      <c r="I99" s="235" t="b">
        <v>0</v>
      </c>
      <c r="J99" s="244"/>
      <c r="K99" s="202"/>
      <c r="L99" s="202"/>
      <c r="M99" s="165"/>
      <c r="N99" s="165"/>
      <c r="O99" s="165"/>
    </row>
    <row r="100" ht="32.25" customHeight="1">
      <c r="A100" s="178">
        <v>916.0</v>
      </c>
      <c r="B100" s="164" t="s">
        <v>254</v>
      </c>
      <c r="C100" s="231" t="s">
        <v>250</v>
      </c>
      <c r="D100" s="180">
        <v>244601.0</v>
      </c>
      <c r="E100" s="245">
        <v>244602.0</v>
      </c>
      <c r="F100" s="178">
        <v>1.0</v>
      </c>
      <c r="G100" s="235" t="b">
        <v>0</v>
      </c>
      <c r="H100" s="235" t="b">
        <v>0</v>
      </c>
      <c r="I100" s="235" t="b">
        <v>0</v>
      </c>
      <c r="J100" s="244"/>
      <c r="K100" s="202"/>
      <c r="L100" s="202"/>
      <c r="M100" s="165"/>
      <c r="N100" s="165"/>
      <c r="O100" s="165"/>
    </row>
    <row r="101" ht="32.25" customHeight="1">
      <c r="A101" s="178">
        <v>917.0</v>
      </c>
      <c r="B101" s="164" t="s">
        <v>254</v>
      </c>
      <c r="C101" s="231" t="s">
        <v>250</v>
      </c>
      <c r="D101" s="180">
        <v>244601.0</v>
      </c>
      <c r="E101" s="245">
        <v>244602.0</v>
      </c>
      <c r="F101" s="178">
        <v>1.0</v>
      </c>
      <c r="G101" s="235" t="b">
        <v>0</v>
      </c>
      <c r="H101" s="235" t="b">
        <v>0</v>
      </c>
      <c r="I101" s="235" t="b">
        <v>0</v>
      </c>
      <c r="J101" s="244"/>
      <c r="K101" s="202"/>
      <c r="L101" s="202"/>
      <c r="M101" s="165"/>
      <c r="N101" s="165"/>
      <c r="O101" s="165"/>
    </row>
    <row r="102" ht="32.25" customHeight="1">
      <c r="A102" s="178">
        <v>918.0</v>
      </c>
      <c r="B102" s="231" t="s">
        <v>54</v>
      </c>
      <c r="C102" s="231" t="s">
        <v>250</v>
      </c>
      <c r="D102" s="180">
        <v>244601.0</v>
      </c>
      <c r="E102" s="245">
        <v>244602.0</v>
      </c>
      <c r="F102" s="178">
        <v>1.0</v>
      </c>
      <c r="G102" s="235" t="b">
        <v>0</v>
      </c>
      <c r="H102" s="235" t="b">
        <v>0</v>
      </c>
      <c r="I102" s="235" t="b">
        <v>0</v>
      </c>
      <c r="J102" s="244"/>
      <c r="K102" s="202"/>
      <c r="L102" s="202"/>
      <c r="M102" s="165"/>
      <c r="N102" s="165"/>
      <c r="O102" s="165"/>
    </row>
    <row r="103" ht="32.25" customHeight="1">
      <c r="A103" s="178">
        <v>919.0</v>
      </c>
      <c r="B103" s="231" t="s">
        <v>249</v>
      </c>
      <c r="C103" s="164" t="s">
        <v>252</v>
      </c>
      <c r="D103" s="180">
        <v>244596.0</v>
      </c>
      <c r="E103" s="245">
        <v>244602.0</v>
      </c>
      <c r="F103" s="178">
        <v>6.0</v>
      </c>
      <c r="G103" s="235" t="b">
        <v>0</v>
      </c>
      <c r="H103" s="235" t="b">
        <v>0</v>
      </c>
      <c r="I103" s="235" t="b">
        <v>0</v>
      </c>
      <c r="J103" s="244"/>
      <c r="K103" s="202"/>
      <c r="L103" s="202"/>
      <c r="M103" s="165"/>
      <c r="N103" s="165"/>
      <c r="O103" s="165"/>
    </row>
    <row r="104" ht="32.25" customHeight="1">
      <c r="A104" s="246">
        <v>920.0</v>
      </c>
      <c r="B104" s="247" t="s">
        <v>249</v>
      </c>
      <c r="C104" s="248" t="s">
        <v>252</v>
      </c>
      <c r="D104" s="249">
        <v>244597.0</v>
      </c>
      <c r="E104" s="250">
        <v>244602.0</v>
      </c>
      <c r="F104" s="246">
        <v>5.0</v>
      </c>
      <c r="G104" s="235" t="b">
        <v>0</v>
      </c>
      <c r="H104" s="235" t="b">
        <v>0</v>
      </c>
      <c r="I104" s="235" t="b">
        <v>0</v>
      </c>
      <c r="J104" s="251"/>
      <c r="K104" s="202"/>
      <c r="L104" s="202"/>
      <c r="M104" s="165"/>
      <c r="N104" s="165"/>
      <c r="O104" s="165"/>
    </row>
    <row r="105" ht="23.25" customHeight="1">
      <c r="A105" s="252"/>
      <c r="B105" s="252"/>
      <c r="C105" s="252"/>
      <c r="D105" s="252"/>
      <c r="E105" s="252"/>
      <c r="F105" s="252"/>
      <c r="G105" s="252"/>
      <c r="H105" s="252"/>
      <c r="I105" s="252"/>
      <c r="J105" s="252"/>
      <c r="K105" s="165"/>
      <c r="L105" s="165"/>
      <c r="M105" s="165"/>
      <c r="N105" s="165"/>
      <c r="O105" s="165"/>
    </row>
    <row r="106" ht="23.25" customHeight="1">
      <c r="A106" s="252"/>
      <c r="B106" s="252"/>
      <c r="C106" s="252"/>
      <c r="D106" s="252"/>
      <c r="E106" s="252"/>
      <c r="F106" s="252"/>
      <c r="G106" s="252"/>
      <c r="H106" s="252"/>
      <c r="I106" s="252"/>
      <c r="J106" s="252"/>
      <c r="K106" s="165"/>
      <c r="L106" s="165"/>
      <c r="M106" s="165"/>
      <c r="N106" s="165"/>
      <c r="O106" s="165"/>
    </row>
    <row r="107" ht="23.25" customHeight="1">
      <c r="A107" s="252"/>
      <c r="B107" s="252"/>
      <c r="C107" s="252"/>
      <c r="D107" s="252"/>
      <c r="E107" s="252"/>
      <c r="F107" s="252"/>
      <c r="G107" s="252"/>
      <c r="H107" s="252"/>
      <c r="I107" s="252"/>
      <c r="J107" s="252"/>
      <c r="K107" s="165"/>
      <c r="L107" s="165"/>
      <c r="M107" s="165"/>
      <c r="N107" s="165"/>
      <c r="O107" s="165"/>
    </row>
    <row r="108" ht="23.25" customHeight="1">
      <c r="A108" s="252"/>
      <c r="B108" s="252"/>
      <c r="C108" s="252"/>
      <c r="D108" s="252"/>
      <c r="E108" s="252"/>
      <c r="F108" s="252"/>
      <c r="G108" s="252"/>
      <c r="H108" s="252"/>
      <c r="I108" s="252"/>
      <c r="J108" s="252"/>
      <c r="K108" s="165"/>
      <c r="L108" s="165"/>
      <c r="M108" s="165"/>
      <c r="N108" s="165"/>
      <c r="O108" s="165"/>
    </row>
    <row r="109" ht="23.25" customHeight="1">
      <c r="A109" s="252"/>
      <c r="B109" s="252"/>
      <c r="C109" s="252"/>
      <c r="D109" s="252"/>
      <c r="E109" s="252"/>
      <c r="F109" s="252"/>
      <c r="G109" s="252"/>
      <c r="H109" s="252"/>
      <c r="I109" s="252"/>
      <c r="J109" s="252"/>
      <c r="K109" s="165"/>
      <c r="L109" s="165"/>
      <c r="M109" s="165"/>
      <c r="N109" s="165"/>
      <c r="O109" s="165"/>
    </row>
    <row r="110" ht="23.25" customHeight="1">
      <c r="A110" s="252"/>
      <c r="B110" s="252"/>
      <c r="C110" s="252"/>
      <c r="D110" s="252"/>
      <c r="E110" s="252"/>
      <c r="F110" s="252"/>
      <c r="G110" s="252"/>
      <c r="H110" s="252"/>
      <c r="I110" s="252"/>
      <c r="J110" s="252"/>
      <c r="K110" s="165"/>
      <c r="L110" s="165"/>
      <c r="M110" s="165"/>
      <c r="N110" s="165"/>
      <c r="O110" s="165"/>
    </row>
    <row r="111" ht="23.25" customHeight="1">
      <c r="A111" s="252"/>
      <c r="B111" s="252"/>
      <c r="C111" s="252"/>
      <c r="D111" s="252"/>
      <c r="E111" s="252"/>
      <c r="F111" s="252"/>
      <c r="G111" s="252"/>
      <c r="H111" s="252"/>
      <c r="I111" s="252"/>
      <c r="J111" s="252"/>
      <c r="K111" s="165"/>
      <c r="L111" s="165"/>
      <c r="M111" s="165"/>
      <c r="N111" s="165"/>
      <c r="O111" s="165"/>
    </row>
    <row r="112" ht="23.25" customHeight="1">
      <c r="A112" s="252"/>
      <c r="B112" s="252"/>
      <c r="C112" s="252"/>
      <c r="D112" s="252"/>
      <c r="E112" s="252"/>
      <c r="F112" s="252"/>
      <c r="G112" s="252"/>
      <c r="H112" s="252"/>
      <c r="I112" s="252"/>
      <c r="J112" s="252"/>
      <c r="K112" s="165"/>
      <c r="L112" s="165"/>
      <c r="M112" s="165"/>
      <c r="N112" s="165"/>
      <c r="O112" s="165"/>
    </row>
    <row r="113" ht="23.25" customHeight="1">
      <c r="A113" s="252"/>
      <c r="B113" s="252"/>
      <c r="C113" s="252"/>
      <c r="D113" s="252"/>
      <c r="E113" s="252"/>
      <c r="F113" s="252"/>
      <c r="G113" s="252"/>
      <c r="H113" s="252"/>
      <c r="I113" s="252"/>
      <c r="J113" s="252"/>
      <c r="K113" s="165"/>
      <c r="L113" s="165"/>
      <c r="M113" s="165"/>
      <c r="N113" s="165"/>
      <c r="O113" s="165"/>
    </row>
    <row r="114" ht="23.25" customHeight="1">
      <c r="A114" s="252"/>
      <c r="B114" s="252"/>
      <c r="C114" s="252"/>
      <c r="D114" s="252"/>
      <c r="E114" s="252"/>
      <c r="F114" s="252"/>
      <c r="G114" s="252"/>
      <c r="H114" s="252"/>
      <c r="I114" s="252"/>
      <c r="J114" s="252"/>
      <c r="K114" s="165"/>
      <c r="L114" s="165"/>
      <c r="M114" s="165"/>
      <c r="N114" s="165"/>
      <c r="O114" s="165"/>
    </row>
    <row r="115" ht="23.25" customHeight="1">
      <c r="A115" s="252"/>
      <c r="B115" s="252"/>
      <c r="C115" s="252"/>
      <c r="D115" s="252"/>
      <c r="E115" s="252"/>
      <c r="F115" s="252"/>
      <c r="G115" s="252"/>
      <c r="H115" s="252"/>
      <c r="I115" s="252"/>
      <c r="J115" s="252"/>
      <c r="K115" s="165"/>
      <c r="L115" s="165"/>
      <c r="M115" s="165"/>
      <c r="N115" s="165"/>
      <c r="O115" s="165"/>
    </row>
    <row r="116" ht="23.25" customHeight="1">
      <c r="A116" s="252"/>
      <c r="B116" s="252"/>
      <c r="C116" s="252"/>
      <c r="D116" s="252"/>
      <c r="E116" s="252"/>
      <c r="F116" s="252"/>
      <c r="G116" s="252"/>
      <c r="H116" s="252"/>
      <c r="I116" s="252"/>
      <c r="J116" s="252"/>
      <c r="K116" s="165"/>
      <c r="L116" s="165"/>
      <c r="M116" s="165"/>
      <c r="N116" s="165"/>
      <c r="O116" s="165"/>
    </row>
    <row r="117" ht="23.25" customHeight="1">
      <c r="A117" s="252"/>
      <c r="B117" s="252"/>
      <c r="C117" s="252"/>
      <c r="D117" s="252"/>
      <c r="E117" s="252"/>
      <c r="F117" s="252"/>
      <c r="G117" s="252"/>
      <c r="H117" s="252"/>
      <c r="I117" s="252"/>
      <c r="J117" s="252"/>
      <c r="K117" s="165"/>
      <c r="L117" s="165"/>
      <c r="M117" s="165"/>
      <c r="N117" s="165"/>
      <c r="O117" s="165"/>
    </row>
    <row r="118" ht="23.25" customHeight="1">
      <c r="A118" s="252"/>
      <c r="B118" s="252"/>
      <c r="C118" s="252"/>
      <c r="D118" s="252"/>
      <c r="E118" s="252"/>
      <c r="F118" s="252"/>
      <c r="G118" s="252"/>
      <c r="H118" s="252"/>
      <c r="I118" s="252"/>
      <c r="J118" s="252"/>
      <c r="K118" s="165"/>
      <c r="L118" s="165"/>
      <c r="M118" s="165"/>
      <c r="N118" s="165"/>
      <c r="O118" s="165"/>
    </row>
    <row r="119" ht="23.25" customHeight="1">
      <c r="A119" s="252"/>
      <c r="B119" s="252"/>
      <c r="C119" s="252"/>
      <c r="D119" s="252"/>
      <c r="E119" s="252"/>
      <c r="F119" s="252"/>
      <c r="G119" s="252"/>
      <c r="H119" s="252"/>
      <c r="I119" s="252"/>
      <c r="J119" s="252"/>
      <c r="K119" s="165"/>
      <c r="L119" s="165"/>
      <c r="M119" s="165"/>
      <c r="N119" s="165"/>
      <c r="O119" s="165"/>
    </row>
    <row r="120" ht="23.25" customHeight="1">
      <c r="A120" s="252"/>
      <c r="B120" s="252"/>
      <c r="C120" s="252"/>
      <c r="D120" s="252"/>
      <c r="E120" s="252"/>
      <c r="F120" s="252"/>
      <c r="G120" s="252"/>
      <c r="H120" s="252"/>
      <c r="I120" s="252"/>
      <c r="J120" s="252"/>
      <c r="K120" s="165"/>
      <c r="L120" s="165"/>
      <c r="M120" s="165"/>
      <c r="N120" s="165"/>
      <c r="O120" s="165"/>
    </row>
    <row r="121" ht="23.25" customHeight="1">
      <c r="A121" s="252"/>
      <c r="B121" s="252"/>
      <c r="C121" s="252"/>
      <c r="D121" s="252"/>
      <c r="E121" s="252"/>
      <c r="F121" s="252"/>
      <c r="G121" s="252"/>
      <c r="H121" s="252"/>
      <c r="I121" s="252"/>
      <c r="J121" s="252"/>
      <c r="K121" s="165"/>
      <c r="L121" s="165"/>
      <c r="M121" s="165"/>
      <c r="N121" s="165"/>
      <c r="O121" s="165"/>
    </row>
    <row r="122" ht="23.25" customHeight="1">
      <c r="A122" s="252"/>
      <c r="B122" s="252"/>
      <c r="C122" s="252"/>
      <c r="D122" s="252"/>
      <c r="E122" s="252"/>
      <c r="F122" s="252"/>
      <c r="G122" s="252"/>
      <c r="H122" s="252"/>
      <c r="I122" s="252"/>
      <c r="J122" s="252"/>
      <c r="K122" s="165"/>
      <c r="L122" s="165"/>
      <c r="M122" s="165"/>
      <c r="N122" s="165"/>
      <c r="O122" s="165"/>
    </row>
    <row r="123" ht="23.25" customHeight="1">
      <c r="A123" s="252"/>
      <c r="B123" s="252"/>
      <c r="C123" s="252"/>
      <c r="D123" s="252"/>
      <c r="E123" s="252"/>
      <c r="F123" s="252"/>
      <c r="G123" s="252"/>
      <c r="H123" s="252"/>
      <c r="I123" s="252"/>
      <c r="J123" s="252"/>
      <c r="K123" s="165"/>
      <c r="L123" s="165"/>
      <c r="M123" s="165"/>
      <c r="N123" s="165"/>
      <c r="O123" s="165"/>
    </row>
    <row r="124">
      <c r="A124" s="252"/>
      <c r="B124" s="252"/>
      <c r="C124" s="252"/>
      <c r="D124" s="252"/>
      <c r="E124" s="252"/>
      <c r="F124" s="252"/>
      <c r="G124" s="252"/>
      <c r="H124" s="252"/>
      <c r="I124" s="252"/>
      <c r="J124" s="252"/>
      <c r="K124" s="165"/>
      <c r="L124" s="165"/>
      <c r="M124" s="165"/>
      <c r="N124" s="165"/>
      <c r="O124" s="165"/>
    </row>
    <row r="125">
      <c r="A125" s="253"/>
      <c r="B125" s="253"/>
      <c r="C125" s="253"/>
      <c r="D125" s="253"/>
      <c r="E125" s="253"/>
      <c r="F125" s="253"/>
      <c r="G125" s="253"/>
      <c r="H125" s="253"/>
      <c r="I125" s="253"/>
      <c r="J125" s="253"/>
      <c r="K125" s="165"/>
      <c r="L125" s="165"/>
      <c r="M125" s="165"/>
      <c r="N125" s="165"/>
      <c r="O125" s="165"/>
    </row>
    <row r="126">
      <c r="A126" s="253"/>
      <c r="B126" s="253"/>
      <c r="C126" s="253"/>
      <c r="D126" s="253"/>
      <c r="E126" s="253"/>
      <c r="F126" s="253"/>
      <c r="G126" s="253"/>
      <c r="H126" s="253"/>
      <c r="I126" s="253"/>
      <c r="J126" s="253"/>
      <c r="K126" s="165"/>
      <c r="L126" s="165"/>
      <c r="M126" s="165"/>
      <c r="N126" s="165"/>
      <c r="O126" s="165"/>
    </row>
    <row r="127">
      <c r="A127" s="253"/>
      <c r="B127" s="253"/>
      <c r="C127" s="253"/>
      <c r="D127" s="253"/>
      <c r="E127" s="253"/>
      <c r="F127" s="253"/>
      <c r="G127" s="253"/>
      <c r="H127" s="253"/>
      <c r="I127" s="253"/>
      <c r="J127" s="253"/>
      <c r="K127" s="165"/>
      <c r="L127" s="165"/>
      <c r="M127" s="165"/>
      <c r="N127" s="165"/>
      <c r="O127" s="165"/>
    </row>
    <row r="128">
      <c r="K128" s="165"/>
      <c r="L128" s="165"/>
      <c r="M128" s="165"/>
      <c r="N128" s="165"/>
      <c r="O128" s="165"/>
    </row>
    <row r="129">
      <c r="K129" s="165"/>
      <c r="L129" s="165"/>
      <c r="M129" s="165"/>
      <c r="N129" s="165"/>
      <c r="O129" s="165"/>
    </row>
    <row r="130">
      <c r="K130" s="165"/>
      <c r="L130" s="165"/>
      <c r="M130" s="165"/>
      <c r="N130" s="165"/>
      <c r="O130" s="165"/>
    </row>
    <row r="131">
      <c r="K131" s="165"/>
      <c r="L131" s="165"/>
      <c r="M131" s="165"/>
      <c r="N131" s="165"/>
      <c r="O131" s="165"/>
    </row>
    <row r="132">
      <c r="K132" s="165"/>
      <c r="L132" s="165"/>
      <c r="M132" s="165"/>
      <c r="N132" s="165"/>
      <c r="O132" s="165"/>
    </row>
    <row r="133">
      <c r="K133" s="165"/>
      <c r="L133" s="165"/>
      <c r="M133" s="165"/>
      <c r="N133" s="165"/>
      <c r="O133" s="165"/>
    </row>
    <row r="134">
      <c r="K134" s="165"/>
      <c r="L134" s="165"/>
      <c r="M134" s="165"/>
      <c r="N134" s="165"/>
      <c r="O134" s="165"/>
    </row>
    <row r="135">
      <c r="K135" s="165"/>
      <c r="L135" s="165"/>
      <c r="M135" s="165"/>
      <c r="N135" s="165"/>
      <c r="O135" s="165"/>
    </row>
    <row r="136">
      <c r="K136" s="165"/>
      <c r="L136" s="165"/>
      <c r="M136" s="165"/>
      <c r="N136" s="165"/>
      <c r="O136" s="165"/>
    </row>
    <row r="137">
      <c r="K137" s="165"/>
      <c r="L137" s="165"/>
      <c r="M137" s="165"/>
      <c r="N137" s="165"/>
      <c r="O137" s="165"/>
    </row>
    <row r="138">
      <c r="K138" s="165"/>
      <c r="L138" s="165"/>
      <c r="M138" s="165"/>
      <c r="N138" s="165"/>
      <c r="O138" s="165"/>
    </row>
    <row r="139">
      <c r="K139" s="165"/>
      <c r="L139" s="165"/>
      <c r="M139" s="165"/>
      <c r="N139" s="165"/>
      <c r="O139" s="165"/>
    </row>
    <row r="140">
      <c r="K140" s="165"/>
      <c r="L140" s="165"/>
      <c r="M140" s="165"/>
      <c r="N140" s="165"/>
      <c r="O140" s="165"/>
    </row>
    <row r="141">
      <c r="K141" s="165"/>
      <c r="L141" s="165"/>
      <c r="M141" s="165"/>
      <c r="N141" s="165"/>
      <c r="O141" s="165"/>
    </row>
    <row r="142">
      <c r="K142" s="165"/>
      <c r="L142" s="165"/>
      <c r="M142" s="165"/>
      <c r="N142" s="165"/>
      <c r="O142" s="165"/>
    </row>
    <row r="143">
      <c r="K143" s="165"/>
      <c r="L143" s="165"/>
      <c r="M143" s="165"/>
      <c r="N143" s="165"/>
      <c r="O143" s="165"/>
    </row>
    <row r="144">
      <c r="K144" s="165"/>
      <c r="L144" s="165"/>
      <c r="M144" s="165"/>
      <c r="N144" s="165"/>
      <c r="O144" s="165"/>
    </row>
    <row r="145">
      <c r="K145" s="165"/>
      <c r="L145" s="165"/>
      <c r="M145" s="165"/>
      <c r="N145" s="165"/>
      <c r="O145" s="165"/>
    </row>
    <row r="146">
      <c r="K146" s="165"/>
      <c r="L146" s="165"/>
      <c r="M146" s="165"/>
      <c r="N146" s="165"/>
      <c r="O146" s="165"/>
    </row>
    <row r="147">
      <c r="K147" s="165"/>
      <c r="L147" s="165"/>
      <c r="M147" s="165"/>
      <c r="N147" s="165"/>
      <c r="O147" s="165"/>
    </row>
    <row r="148">
      <c r="K148" s="165"/>
      <c r="L148" s="165"/>
      <c r="M148" s="165"/>
      <c r="N148" s="165"/>
      <c r="O148" s="165"/>
    </row>
    <row r="149">
      <c r="K149" s="165"/>
      <c r="L149" s="165"/>
      <c r="M149" s="165"/>
      <c r="N149" s="165"/>
      <c r="O149" s="165"/>
    </row>
    <row r="150">
      <c r="K150" s="165"/>
      <c r="L150" s="165"/>
      <c r="M150" s="165"/>
      <c r="N150" s="165"/>
      <c r="O150" s="165"/>
    </row>
    <row r="151">
      <c r="K151" s="165"/>
      <c r="L151" s="165"/>
      <c r="M151" s="165"/>
      <c r="N151" s="165"/>
      <c r="O151" s="165"/>
    </row>
    <row r="152">
      <c r="K152" s="165"/>
      <c r="L152" s="165"/>
      <c r="M152" s="165"/>
      <c r="N152" s="165"/>
      <c r="O152" s="165"/>
    </row>
    <row r="153">
      <c r="K153" s="165"/>
      <c r="L153" s="165"/>
      <c r="M153" s="165"/>
      <c r="N153" s="165"/>
      <c r="O153" s="165"/>
    </row>
    <row r="154">
      <c r="K154" s="165"/>
      <c r="L154" s="165"/>
      <c r="M154" s="165"/>
      <c r="N154" s="165"/>
      <c r="O154" s="165"/>
    </row>
    <row r="155">
      <c r="K155" s="165"/>
      <c r="L155" s="165"/>
      <c r="M155" s="165"/>
      <c r="N155" s="165"/>
      <c r="O155" s="165"/>
    </row>
    <row r="156">
      <c r="K156" s="165"/>
      <c r="L156" s="165"/>
      <c r="M156" s="165"/>
      <c r="N156" s="165"/>
      <c r="O156" s="165"/>
    </row>
    <row r="157">
      <c r="K157" s="165"/>
      <c r="L157" s="165"/>
      <c r="M157" s="165"/>
      <c r="N157" s="165"/>
      <c r="O157" s="165"/>
    </row>
    <row r="158">
      <c r="K158" s="165"/>
      <c r="L158" s="165"/>
      <c r="M158" s="165"/>
      <c r="N158" s="165"/>
      <c r="O158" s="165"/>
    </row>
    <row r="159">
      <c r="K159" s="165"/>
      <c r="L159" s="165"/>
      <c r="M159" s="165"/>
      <c r="N159" s="165"/>
      <c r="O159" s="165"/>
    </row>
    <row r="160">
      <c r="K160" s="165"/>
      <c r="L160" s="165"/>
      <c r="M160" s="165"/>
      <c r="N160" s="165"/>
      <c r="O160" s="165"/>
    </row>
    <row r="161">
      <c r="K161" s="165"/>
      <c r="L161" s="165"/>
      <c r="M161" s="165"/>
      <c r="N161" s="165"/>
      <c r="O161" s="165"/>
    </row>
    <row r="162">
      <c r="K162" s="165"/>
      <c r="L162" s="165"/>
      <c r="M162" s="165"/>
      <c r="N162" s="165"/>
      <c r="O162" s="165"/>
    </row>
    <row r="163">
      <c r="K163" s="165"/>
      <c r="L163" s="165"/>
      <c r="M163" s="165"/>
      <c r="N163" s="165"/>
      <c r="O163" s="165"/>
    </row>
    <row r="164">
      <c r="K164" s="165"/>
      <c r="L164" s="165"/>
      <c r="M164" s="165"/>
      <c r="N164" s="165"/>
      <c r="O164" s="165"/>
    </row>
    <row r="165">
      <c r="K165" s="165"/>
      <c r="L165" s="165"/>
      <c r="M165" s="165"/>
      <c r="N165" s="165"/>
      <c r="O165" s="165"/>
    </row>
    <row r="166">
      <c r="K166" s="165"/>
      <c r="L166" s="165"/>
      <c r="M166" s="165"/>
      <c r="N166" s="165"/>
      <c r="O166" s="165"/>
    </row>
    <row r="167">
      <c r="K167" s="165"/>
      <c r="L167" s="165"/>
      <c r="M167" s="165"/>
      <c r="N167" s="165"/>
      <c r="O167" s="165"/>
    </row>
    <row r="168">
      <c r="K168" s="165"/>
      <c r="L168" s="165"/>
      <c r="M168" s="165"/>
      <c r="N168" s="165"/>
      <c r="O168" s="165"/>
    </row>
    <row r="169">
      <c r="K169" s="165"/>
      <c r="L169" s="165"/>
      <c r="M169" s="165"/>
      <c r="N169" s="165"/>
      <c r="O169" s="165"/>
    </row>
    <row r="170">
      <c r="K170" s="165"/>
      <c r="L170" s="165"/>
      <c r="M170" s="165"/>
      <c r="N170" s="165"/>
      <c r="O170" s="165"/>
    </row>
    <row r="171">
      <c r="K171" s="165"/>
      <c r="L171" s="165"/>
      <c r="M171" s="165"/>
      <c r="N171" s="165"/>
      <c r="O171" s="165"/>
    </row>
    <row r="172">
      <c r="K172" s="165"/>
      <c r="L172" s="165"/>
      <c r="M172" s="165"/>
      <c r="N172" s="165"/>
      <c r="O172" s="165"/>
    </row>
    <row r="173">
      <c r="K173" s="165"/>
      <c r="L173" s="165"/>
      <c r="M173" s="165"/>
      <c r="N173" s="165"/>
      <c r="O173" s="165"/>
    </row>
    <row r="174">
      <c r="K174" s="165"/>
      <c r="L174" s="165"/>
      <c r="M174" s="165"/>
      <c r="N174" s="165"/>
      <c r="O174" s="165"/>
    </row>
    <row r="175">
      <c r="K175" s="165"/>
      <c r="L175" s="165"/>
      <c r="M175" s="165"/>
      <c r="N175" s="165"/>
      <c r="O175" s="165"/>
    </row>
    <row r="176">
      <c r="K176" s="165"/>
      <c r="L176" s="165"/>
      <c r="M176" s="165"/>
      <c r="N176" s="165"/>
      <c r="O176" s="165"/>
    </row>
    <row r="177">
      <c r="K177" s="165"/>
      <c r="L177" s="165"/>
      <c r="M177" s="165"/>
      <c r="N177" s="165"/>
      <c r="O177" s="165"/>
    </row>
    <row r="178">
      <c r="K178" s="165"/>
      <c r="L178" s="165"/>
      <c r="M178" s="165"/>
      <c r="N178" s="165"/>
      <c r="O178" s="165"/>
    </row>
    <row r="179">
      <c r="K179" s="165"/>
      <c r="L179" s="165"/>
      <c r="M179" s="165"/>
      <c r="N179" s="165"/>
      <c r="O179" s="165"/>
    </row>
    <row r="180">
      <c r="K180" s="165"/>
      <c r="L180" s="165"/>
      <c r="M180" s="165"/>
      <c r="N180" s="165"/>
      <c r="O180" s="165"/>
    </row>
    <row r="181">
      <c r="K181" s="165"/>
      <c r="L181" s="165"/>
      <c r="M181" s="165"/>
      <c r="N181" s="165"/>
      <c r="O181" s="165"/>
    </row>
    <row r="182">
      <c r="K182" s="165"/>
      <c r="L182" s="165"/>
      <c r="M182" s="165"/>
      <c r="N182" s="165"/>
      <c r="O182" s="165"/>
    </row>
    <row r="183">
      <c r="K183" s="165"/>
      <c r="L183" s="165"/>
      <c r="M183" s="165"/>
      <c r="N183" s="165"/>
      <c r="O183" s="165"/>
    </row>
    <row r="184">
      <c r="K184" s="165"/>
      <c r="L184" s="165"/>
      <c r="M184" s="165"/>
      <c r="N184" s="165"/>
      <c r="O184" s="165"/>
    </row>
    <row r="185">
      <c r="K185" s="165"/>
      <c r="L185" s="165"/>
      <c r="M185" s="165"/>
      <c r="N185" s="165"/>
      <c r="O185" s="165"/>
    </row>
    <row r="186">
      <c r="K186" s="165"/>
      <c r="L186" s="165"/>
      <c r="M186" s="165"/>
      <c r="N186" s="165"/>
      <c r="O186" s="165"/>
    </row>
    <row r="187">
      <c r="K187" s="165"/>
      <c r="L187" s="165"/>
      <c r="M187" s="165"/>
      <c r="N187" s="165"/>
      <c r="O187" s="165"/>
    </row>
    <row r="188">
      <c r="K188" s="165"/>
      <c r="L188" s="165"/>
      <c r="M188" s="165"/>
      <c r="N188" s="165"/>
      <c r="O188" s="165"/>
    </row>
    <row r="189">
      <c r="K189" s="165"/>
      <c r="L189" s="165"/>
      <c r="M189" s="165"/>
      <c r="N189" s="165"/>
      <c r="O189" s="165"/>
    </row>
    <row r="190">
      <c r="K190" s="165"/>
      <c r="L190" s="165"/>
      <c r="M190" s="165"/>
      <c r="N190" s="165"/>
      <c r="O190" s="165"/>
    </row>
    <row r="191">
      <c r="K191" s="165"/>
      <c r="L191" s="165"/>
      <c r="M191" s="165"/>
      <c r="N191" s="165"/>
      <c r="O191" s="165"/>
    </row>
    <row r="192">
      <c r="K192" s="165"/>
      <c r="L192" s="165"/>
      <c r="M192" s="165"/>
      <c r="N192" s="165"/>
      <c r="O192" s="165"/>
    </row>
    <row r="193">
      <c r="K193" s="165"/>
      <c r="L193" s="165"/>
      <c r="M193" s="165"/>
      <c r="N193" s="165"/>
      <c r="O193" s="165"/>
    </row>
    <row r="194">
      <c r="K194" s="165"/>
      <c r="L194" s="165"/>
      <c r="M194" s="165"/>
      <c r="N194" s="165"/>
      <c r="O194" s="165"/>
    </row>
    <row r="195">
      <c r="K195" s="165"/>
      <c r="L195" s="165"/>
      <c r="M195" s="165"/>
      <c r="N195" s="165"/>
      <c r="O195" s="165"/>
    </row>
    <row r="196">
      <c r="K196" s="165"/>
      <c r="L196" s="165"/>
      <c r="M196" s="165"/>
      <c r="N196" s="165"/>
      <c r="O196" s="165"/>
    </row>
    <row r="197">
      <c r="K197" s="165"/>
      <c r="L197" s="165"/>
      <c r="M197" s="165"/>
      <c r="N197" s="165"/>
      <c r="O197" s="165"/>
    </row>
    <row r="198">
      <c r="K198" s="165"/>
      <c r="L198" s="165"/>
      <c r="M198" s="165"/>
      <c r="N198" s="165"/>
      <c r="O198" s="165"/>
    </row>
    <row r="199">
      <c r="K199" s="165"/>
      <c r="L199" s="165"/>
      <c r="M199" s="165"/>
      <c r="N199" s="165"/>
      <c r="O199" s="165"/>
    </row>
    <row r="200">
      <c r="K200" s="165"/>
      <c r="L200" s="165"/>
      <c r="M200" s="165"/>
      <c r="N200" s="165"/>
      <c r="O200" s="165"/>
    </row>
    <row r="201">
      <c r="K201" s="165"/>
      <c r="L201" s="165"/>
      <c r="M201" s="165"/>
      <c r="N201" s="165"/>
      <c r="O201" s="165"/>
    </row>
    <row r="202">
      <c r="K202" s="165"/>
      <c r="L202" s="165"/>
      <c r="M202" s="165"/>
      <c r="N202" s="165"/>
      <c r="O202" s="165"/>
    </row>
    <row r="203">
      <c r="K203" s="165"/>
      <c r="L203" s="165"/>
      <c r="M203" s="165"/>
      <c r="N203" s="165"/>
      <c r="O203" s="165"/>
    </row>
    <row r="204">
      <c r="K204" s="165"/>
      <c r="L204" s="165"/>
      <c r="M204" s="165"/>
      <c r="N204" s="165"/>
      <c r="O204" s="165"/>
    </row>
    <row r="205">
      <c r="K205" s="165"/>
      <c r="L205" s="165"/>
      <c r="M205" s="165"/>
      <c r="N205" s="165"/>
      <c r="O205" s="165"/>
    </row>
    <row r="206">
      <c r="K206" s="165"/>
      <c r="L206" s="165"/>
      <c r="M206" s="165"/>
      <c r="N206" s="165"/>
      <c r="O206" s="165"/>
    </row>
    <row r="207">
      <c r="K207" s="165"/>
      <c r="L207" s="165"/>
      <c r="M207" s="165"/>
      <c r="N207" s="165"/>
      <c r="O207" s="165"/>
    </row>
    <row r="208">
      <c r="K208" s="165"/>
      <c r="L208" s="165"/>
      <c r="M208" s="165"/>
      <c r="N208" s="165"/>
      <c r="O208" s="165"/>
    </row>
    <row r="209">
      <c r="K209" s="165"/>
      <c r="L209" s="165"/>
      <c r="M209" s="165"/>
      <c r="N209" s="165"/>
      <c r="O209" s="165"/>
    </row>
    <row r="210">
      <c r="K210" s="165"/>
      <c r="L210" s="165"/>
      <c r="M210" s="165"/>
      <c r="N210" s="165"/>
      <c r="O210" s="165"/>
    </row>
    <row r="211">
      <c r="K211" s="165"/>
      <c r="L211" s="165"/>
      <c r="M211" s="165"/>
      <c r="N211" s="165"/>
      <c r="O211" s="165"/>
    </row>
    <row r="212">
      <c r="K212" s="165"/>
      <c r="L212" s="165"/>
      <c r="M212" s="165"/>
      <c r="N212" s="165"/>
      <c r="O212" s="165"/>
    </row>
    <row r="213">
      <c r="K213" s="165"/>
      <c r="L213" s="165"/>
      <c r="M213" s="165"/>
      <c r="N213" s="165"/>
      <c r="O213" s="165"/>
    </row>
    <row r="214">
      <c r="K214" s="165"/>
      <c r="L214" s="165"/>
      <c r="M214" s="165"/>
      <c r="N214" s="165"/>
      <c r="O214" s="165"/>
    </row>
    <row r="215">
      <c r="K215" s="165"/>
      <c r="L215" s="165"/>
      <c r="M215" s="165"/>
      <c r="N215" s="165"/>
      <c r="O215" s="165"/>
    </row>
    <row r="216">
      <c r="K216" s="165"/>
      <c r="L216" s="165"/>
      <c r="M216" s="165"/>
      <c r="N216" s="165"/>
      <c r="O216" s="165"/>
    </row>
    <row r="217">
      <c r="K217" s="165"/>
      <c r="L217" s="165"/>
      <c r="M217" s="165"/>
      <c r="N217" s="165"/>
      <c r="O217" s="165"/>
    </row>
    <row r="218">
      <c r="K218" s="165"/>
      <c r="L218" s="165"/>
      <c r="M218" s="165"/>
      <c r="N218" s="165"/>
      <c r="O218" s="165"/>
    </row>
    <row r="219">
      <c r="K219" s="165"/>
      <c r="L219" s="165"/>
      <c r="M219" s="165"/>
      <c r="N219" s="165"/>
      <c r="O219" s="165"/>
    </row>
    <row r="220">
      <c r="K220" s="165"/>
      <c r="L220" s="165"/>
      <c r="M220" s="165"/>
      <c r="N220" s="165"/>
      <c r="O220" s="165"/>
    </row>
    <row r="221">
      <c r="K221" s="165"/>
      <c r="L221" s="165"/>
      <c r="M221" s="165"/>
      <c r="N221" s="165"/>
      <c r="O221" s="165"/>
    </row>
    <row r="222">
      <c r="K222" s="165"/>
      <c r="L222" s="165"/>
      <c r="M222" s="165"/>
      <c r="N222" s="165"/>
      <c r="O222" s="165"/>
    </row>
    <row r="223">
      <c r="K223" s="165"/>
      <c r="L223" s="165"/>
      <c r="M223" s="165"/>
      <c r="N223" s="165"/>
      <c r="O223" s="165"/>
    </row>
    <row r="224">
      <c r="K224" s="165"/>
      <c r="L224" s="165"/>
      <c r="M224" s="165"/>
      <c r="N224" s="165"/>
      <c r="O224" s="165"/>
    </row>
    <row r="225">
      <c r="K225" s="165"/>
      <c r="L225" s="165"/>
      <c r="M225" s="165"/>
      <c r="N225" s="165"/>
      <c r="O225" s="165"/>
    </row>
    <row r="226">
      <c r="K226" s="165"/>
      <c r="L226" s="165"/>
      <c r="M226" s="165"/>
      <c r="N226" s="165"/>
      <c r="O226" s="165"/>
    </row>
    <row r="227">
      <c r="K227" s="165"/>
      <c r="L227" s="165"/>
      <c r="M227" s="165"/>
      <c r="N227" s="165"/>
      <c r="O227" s="165"/>
    </row>
    <row r="228">
      <c r="K228" s="165"/>
      <c r="L228" s="165"/>
      <c r="M228" s="165"/>
      <c r="N228" s="165"/>
      <c r="O228" s="165"/>
    </row>
    <row r="229">
      <c r="K229" s="165"/>
      <c r="L229" s="165"/>
      <c r="M229" s="165"/>
      <c r="N229" s="165"/>
      <c r="O229" s="165"/>
    </row>
    <row r="230">
      <c r="K230" s="165"/>
      <c r="L230" s="165"/>
      <c r="M230" s="165"/>
      <c r="N230" s="165"/>
      <c r="O230" s="165"/>
    </row>
    <row r="231">
      <c r="K231" s="165"/>
      <c r="L231" s="165"/>
      <c r="M231" s="165"/>
      <c r="N231" s="165"/>
      <c r="O231" s="165"/>
    </row>
    <row r="232">
      <c r="K232" s="165"/>
      <c r="L232" s="165"/>
      <c r="M232" s="165"/>
      <c r="N232" s="165"/>
      <c r="O232" s="165"/>
    </row>
    <row r="233">
      <c r="K233" s="165"/>
      <c r="L233" s="165"/>
      <c r="M233" s="165"/>
      <c r="N233" s="165"/>
      <c r="O233" s="165"/>
    </row>
    <row r="234">
      <c r="K234" s="165"/>
      <c r="L234" s="165"/>
      <c r="M234" s="165"/>
      <c r="N234" s="165"/>
      <c r="O234" s="165"/>
    </row>
    <row r="235">
      <c r="K235" s="165"/>
      <c r="L235" s="165"/>
      <c r="M235" s="165"/>
      <c r="N235" s="165"/>
      <c r="O235" s="165"/>
    </row>
    <row r="236">
      <c r="K236" s="165"/>
      <c r="L236" s="165"/>
      <c r="M236" s="165"/>
      <c r="N236" s="165"/>
      <c r="O236" s="165"/>
    </row>
    <row r="237">
      <c r="K237" s="165"/>
      <c r="L237" s="165"/>
      <c r="M237" s="165"/>
      <c r="N237" s="165"/>
      <c r="O237" s="165"/>
    </row>
    <row r="238">
      <c r="K238" s="165"/>
      <c r="L238" s="165"/>
      <c r="M238" s="165"/>
      <c r="N238" s="165"/>
      <c r="O238" s="165"/>
    </row>
    <row r="239">
      <c r="K239" s="165"/>
      <c r="L239" s="165"/>
      <c r="M239" s="165"/>
      <c r="N239" s="165"/>
      <c r="O239" s="165"/>
    </row>
    <row r="240">
      <c r="K240" s="165"/>
      <c r="L240" s="165"/>
      <c r="M240" s="165"/>
      <c r="N240" s="165"/>
      <c r="O240" s="165"/>
    </row>
    <row r="241">
      <c r="K241" s="165"/>
      <c r="L241" s="165"/>
      <c r="M241" s="165"/>
      <c r="N241" s="165"/>
      <c r="O241" s="165"/>
    </row>
    <row r="242">
      <c r="K242" s="165"/>
      <c r="L242" s="165"/>
      <c r="M242" s="165"/>
      <c r="N242" s="165"/>
      <c r="O242" s="165"/>
    </row>
    <row r="243">
      <c r="K243" s="165"/>
      <c r="L243" s="165"/>
      <c r="M243" s="165"/>
      <c r="N243" s="165"/>
      <c r="O243" s="165"/>
    </row>
    <row r="244">
      <c r="K244" s="165"/>
      <c r="L244" s="165"/>
      <c r="M244" s="165"/>
      <c r="N244" s="165"/>
      <c r="O244" s="165"/>
    </row>
    <row r="245">
      <c r="K245" s="165"/>
      <c r="L245" s="165"/>
      <c r="M245" s="165"/>
      <c r="N245" s="165"/>
      <c r="O245" s="165"/>
    </row>
    <row r="246">
      <c r="K246" s="165"/>
      <c r="L246" s="165"/>
      <c r="M246" s="165"/>
      <c r="N246" s="165"/>
      <c r="O246" s="165"/>
    </row>
    <row r="247">
      <c r="K247" s="165"/>
      <c r="L247" s="165"/>
      <c r="M247" s="165"/>
      <c r="N247" s="165"/>
      <c r="O247" s="165"/>
    </row>
    <row r="248">
      <c r="K248" s="165"/>
      <c r="L248" s="165"/>
      <c r="M248" s="165"/>
      <c r="N248" s="165"/>
      <c r="O248" s="165"/>
    </row>
    <row r="249">
      <c r="K249" s="165"/>
      <c r="L249" s="165"/>
      <c r="M249" s="165"/>
      <c r="N249" s="165"/>
      <c r="O249" s="165"/>
    </row>
    <row r="250">
      <c r="K250" s="165"/>
      <c r="L250" s="165"/>
      <c r="M250" s="165"/>
      <c r="N250" s="165"/>
      <c r="O250" s="165"/>
    </row>
    <row r="251">
      <c r="K251" s="165"/>
      <c r="L251" s="165"/>
      <c r="M251" s="165"/>
      <c r="N251" s="165"/>
      <c r="O251" s="165"/>
    </row>
    <row r="252">
      <c r="K252" s="165"/>
      <c r="L252" s="165"/>
      <c r="M252" s="165"/>
      <c r="N252" s="165"/>
      <c r="O252" s="165"/>
    </row>
    <row r="253">
      <c r="K253" s="165"/>
      <c r="L253" s="165"/>
      <c r="M253" s="165"/>
      <c r="N253" s="165"/>
      <c r="O253" s="165"/>
    </row>
    <row r="254">
      <c r="K254" s="165"/>
      <c r="L254" s="165"/>
      <c r="M254" s="165"/>
      <c r="N254" s="165"/>
      <c r="O254" s="165"/>
    </row>
    <row r="255">
      <c r="K255" s="165"/>
      <c r="L255" s="165"/>
      <c r="M255" s="165"/>
      <c r="N255" s="165"/>
      <c r="O255" s="165"/>
    </row>
    <row r="256">
      <c r="K256" s="165"/>
      <c r="L256" s="165"/>
      <c r="M256" s="165"/>
      <c r="N256" s="165"/>
      <c r="O256" s="165"/>
    </row>
    <row r="257">
      <c r="K257" s="165"/>
      <c r="L257" s="165"/>
      <c r="M257" s="165"/>
      <c r="N257" s="165"/>
      <c r="O257" s="165"/>
    </row>
    <row r="258">
      <c r="K258" s="165"/>
      <c r="L258" s="165"/>
      <c r="M258" s="165"/>
      <c r="N258" s="165"/>
      <c r="O258" s="165"/>
    </row>
    <row r="259">
      <c r="K259" s="165"/>
      <c r="L259" s="165"/>
      <c r="M259" s="165"/>
      <c r="N259" s="165"/>
      <c r="O259" s="165"/>
    </row>
    <row r="260">
      <c r="K260" s="165"/>
      <c r="L260" s="165"/>
      <c r="M260" s="165"/>
      <c r="N260" s="165"/>
      <c r="O260" s="165"/>
    </row>
    <row r="261">
      <c r="K261" s="165"/>
      <c r="L261" s="165"/>
      <c r="M261" s="165"/>
      <c r="N261" s="165"/>
      <c r="O261" s="165"/>
    </row>
    <row r="262">
      <c r="K262" s="165"/>
      <c r="L262" s="165"/>
      <c r="M262" s="165"/>
      <c r="N262" s="165"/>
      <c r="O262" s="165"/>
    </row>
    <row r="263">
      <c r="K263" s="165"/>
      <c r="L263" s="165"/>
      <c r="M263" s="165"/>
      <c r="N263" s="165"/>
      <c r="O263" s="165"/>
    </row>
    <row r="264">
      <c r="K264" s="165"/>
      <c r="L264" s="165"/>
      <c r="M264" s="165"/>
      <c r="N264" s="165"/>
      <c r="O264" s="165"/>
    </row>
    <row r="265">
      <c r="K265" s="165"/>
      <c r="L265" s="165"/>
      <c r="M265" s="165"/>
      <c r="N265" s="165"/>
      <c r="O265" s="165"/>
    </row>
    <row r="266">
      <c r="K266" s="165"/>
      <c r="L266" s="165"/>
      <c r="M266" s="165"/>
      <c r="N266" s="165"/>
      <c r="O266" s="165"/>
    </row>
    <row r="267">
      <c r="K267" s="165"/>
      <c r="L267" s="165"/>
      <c r="M267" s="165"/>
      <c r="N267" s="165"/>
      <c r="O267" s="165"/>
    </row>
    <row r="268">
      <c r="K268" s="165"/>
      <c r="L268" s="165"/>
      <c r="M268" s="165"/>
      <c r="N268" s="165"/>
      <c r="O268" s="165"/>
    </row>
    <row r="269">
      <c r="K269" s="165"/>
      <c r="L269" s="165"/>
      <c r="M269" s="165"/>
      <c r="N269" s="165"/>
      <c r="O269" s="165"/>
    </row>
    <row r="270">
      <c r="K270" s="165"/>
      <c r="L270" s="165"/>
      <c r="M270" s="165"/>
      <c r="N270" s="165"/>
      <c r="O270" s="165"/>
    </row>
    <row r="271">
      <c r="K271" s="165"/>
      <c r="L271" s="165"/>
      <c r="M271" s="165"/>
      <c r="N271" s="165"/>
      <c r="O271" s="165"/>
    </row>
    <row r="272">
      <c r="K272" s="165"/>
      <c r="L272" s="165"/>
      <c r="M272" s="165"/>
      <c r="N272" s="165"/>
      <c r="O272" s="165"/>
    </row>
    <row r="273">
      <c r="K273" s="165"/>
      <c r="L273" s="165"/>
      <c r="M273" s="165"/>
      <c r="N273" s="165"/>
      <c r="O273" s="165"/>
    </row>
    <row r="274">
      <c r="K274" s="165"/>
      <c r="L274" s="165"/>
      <c r="M274" s="165"/>
      <c r="N274" s="165"/>
      <c r="O274" s="165"/>
    </row>
    <row r="275">
      <c r="K275" s="165"/>
      <c r="L275" s="165"/>
      <c r="M275" s="165"/>
      <c r="N275" s="165"/>
      <c r="O275" s="165"/>
    </row>
    <row r="276">
      <c r="K276" s="165"/>
      <c r="L276" s="165"/>
      <c r="M276" s="165"/>
      <c r="N276" s="165"/>
      <c r="O276" s="165"/>
    </row>
    <row r="277">
      <c r="K277" s="165"/>
      <c r="L277" s="165"/>
      <c r="M277" s="165"/>
      <c r="N277" s="165"/>
      <c r="O277" s="165"/>
    </row>
    <row r="278">
      <c r="K278" s="165"/>
      <c r="L278" s="165"/>
      <c r="M278" s="165"/>
      <c r="N278" s="165"/>
      <c r="O278" s="165"/>
    </row>
    <row r="279">
      <c r="K279" s="165"/>
      <c r="L279" s="165"/>
      <c r="M279" s="165"/>
      <c r="N279" s="165"/>
      <c r="O279" s="165"/>
    </row>
    <row r="280">
      <c r="K280" s="165"/>
      <c r="L280" s="165"/>
      <c r="M280" s="165"/>
      <c r="N280" s="165"/>
      <c r="O280" s="165"/>
    </row>
    <row r="281">
      <c r="K281" s="165"/>
      <c r="L281" s="165"/>
      <c r="M281" s="165"/>
      <c r="N281" s="165"/>
      <c r="O281" s="165"/>
    </row>
    <row r="282">
      <c r="K282" s="165"/>
      <c r="L282" s="165"/>
      <c r="M282" s="165"/>
      <c r="N282" s="165"/>
      <c r="O282" s="165"/>
    </row>
    <row r="283">
      <c r="K283" s="165"/>
      <c r="L283" s="165"/>
      <c r="M283" s="165"/>
      <c r="N283" s="165"/>
      <c r="O283" s="165"/>
    </row>
    <row r="284">
      <c r="K284" s="165"/>
      <c r="L284" s="165"/>
      <c r="M284" s="165"/>
      <c r="N284" s="165"/>
      <c r="O284" s="165"/>
    </row>
    <row r="285">
      <c r="K285" s="165"/>
      <c r="L285" s="165"/>
      <c r="M285" s="165"/>
      <c r="N285" s="165"/>
      <c r="O285" s="165"/>
    </row>
    <row r="286">
      <c r="K286" s="165"/>
      <c r="L286" s="165"/>
      <c r="M286" s="165"/>
      <c r="N286" s="165"/>
      <c r="O286" s="165"/>
    </row>
    <row r="287">
      <c r="K287" s="165"/>
      <c r="L287" s="165"/>
      <c r="M287" s="165"/>
      <c r="N287" s="165"/>
      <c r="O287" s="165"/>
    </row>
    <row r="288">
      <c r="K288" s="165"/>
      <c r="L288" s="165"/>
      <c r="M288" s="165"/>
      <c r="N288" s="165"/>
      <c r="O288" s="165"/>
    </row>
    <row r="289">
      <c r="K289" s="165"/>
      <c r="L289" s="165"/>
      <c r="M289" s="165"/>
      <c r="N289" s="165"/>
      <c r="O289" s="165"/>
    </row>
    <row r="290">
      <c r="K290" s="165"/>
      <c r="L290" s="165"/>
      <c r="M290" s="165"/>
      <c r="N290" s="165"/>
      <c r="O290" s="165"/>
    </row>
    <row r="291">
      <c r="K291" s="165"/>
      <c r="L291" s="165"/>
      <c r="M291" s="165"/>
      <c r="N291" s="165"/>
      <c r="O291" s="165"/>
    </row>
    <row r="292">
      <c r="K292" s="165"/>
      <c r="L292" s="165"/>
      <c r="M292" s="165"/>
      <c r="N292" s="165"/>
      <c r="O292" s="165"/>
    </row>
    <row r="293">
      <c r="K293" s="165"/>
      <c r="L293" s="165"/>
      <c r="M293" s="165"/>
      <c r="N293" s="165"/>
      <c r="O293" s="165"/>
    </row>
    <row r="294">
      <c r="K294" s="165"/>
      <c r="L294" s="165"/>
      <c r="M294" s="165"/>
      <c r="N294" s="165"/>
      <c r="O294" s="165"/>
    </row>
    <row r="295">
      <c r="K295" s="165"/>
      <c r="L295" s="165"/>
      <c r="M295" s="165"/>
      <c r="N295" s="165"/>
      <c r="O295" s="165"/>
    </row>
    <row r="296">
      <c r="K296" s="165"/>
      <c r="L296" s="165"/>
      <c r="M296" s="165"/>
      <c r="N296" s="165"/>
      <c r="O296" s="165"/>
    </row>
    <row r="297">
      <c r="K297" s="165"/>
      <c r="L297" s="165"/>
      <c r="M297" s="165"/>
      <c r="N297" s="165"/>
      <c r="O297" s="165"/>
    </row>
    <row r="298">
      <c r="K298" s="165"/>
      <c r="L298" s="165"/>
      <c r="M298" s="165"/>
      <c r="N298" s="165"/>
      <c r="O298" s="165"/>
    </row>
    <row r="299">
      <c r="K299" s="165"/>
      <c r="L299" s="165"/>
      <c r="M299" s="165"/>
      <c r="N299" s="165"/>
      <c r="O299" s="165"/>
    </row>
    <row r="300">
      <c r="K300" s="165"/>
      <c r="L300" s="165"/>
      <c r="M300" s="165"/>
      <c r="N300" s="165"/>
      <c r="O300" s="165"/>
    </row>
    <row r="301">
      <c r="K301" s="165"/>
      <c r="L301" s="165"/>
      <c r="M301" s="165"/>
      <c r="N301" s="165"/>
      <c r="O301" s="165"/>
    </row>
    <row r="302">
      <c r="K302" s="165"/>
      <c r="L302" s="165"/>
      <c r="M302" s="165"/>
      <c r="N302" s="165"/>
      <c r="O302" s="165"/>
    </row>
    <row r="303">
      <c r="K303" s="165"/>
      <c r="L303" s="165"/>
      <c r="M303" s="165"/>
      <c r="N303" s="165"/>
      <c r="O303" s="165"/>
    </row>
    <row r="304">
      <c r="K304" s="165"/>
      <c r="L304" s="165"/>
      <c r="M304" s="165"/>
      <c r="N304" s="165"/>
      <c r="O304" s="165"/>
    </row>
    <row r="305">
      <c r="K305" s="165"/>
      <c r="L305" s="165"/>
      <c r="M305" s="165"/>
      <c r="N305" s="165"/>
      <c r="O305" s="165"/>
    </row>
    <row r="306">
      <c r="K306" s="165"/>
      <c r="L306" s="165"/>
      <c r="M306" s="165"/>
      <c r="N306" s="165"/>
      <c r="O306" s="165"/>
    </row>
    <row r="307">
      <c r="K307" s="165"/>
      <c r="L307" s="165"/>
      <c r="M307" s="165"/>
      <c r="N307" s="165"/>
      <c r="O307" s="165"/>
    </row>
    <row r="308">
      <c r="K308" s="165"/>
      <c r="L308" s="165"/>
      <c r="M308" s="165"/>
      <c r="N308" s="165"/>
      <c r="O308" s="165"/>
    </row>
    <row r="309">
      <c r="K309" s="165"/>
      <c r="L309" s="165"/>
      <c r="M309" s="165"/>
      <c r="N309" s="165"/>
      <c r="O309" s="165"/>
    </row>
    <row r="310">
      <c r="K310" s="165"/>
      <c r="L310" s="165"/>
      <c r="M310" s="165"/>
      <c r="N310" s="165"/>
      <c r="O310" s="165"/>
    </row>
    <row r="311">
      <c r="K311" s="165"/>
      <c r="L311" s="165"/>
      <c r="M311" s="165"/>
      <c r="N311" s="165"/>
      <c r="O311" s="165"/>
    </row>
    <row r="312">
      <c r="K312" s="165"/>
      <c r="L312" s="165"/>
      <c r="M312" s="165"/>
      <c r="N312" s="165"/>
      <c r="O312" s="165"/>
    </row>
    <row r="313">
      <c r="K313" s="165"/>
      <c r="L313" s="165"/>
      <c r="M313" s="165"/>
      <c r="N313" s="165"/>
      <c r="O313" s="165"/>
    </row>
    <row r="314">
      <c r="K314" s="165"/>
      <c r="L314" s="165"/>
      <c r="M314" s="165"/>
      <c r="N314" s="165"/>
      <c r="O314" s="165"/>
    </row>
    <row r="315">
      <c r="K315" s="165"/>
      <c r="L315" s="165"/>
      <c r="M315" s="165"/>
      <c r="N315" s="165"/>
      <c r="O315" s="165"/>
    </row>
    <row r="316">
      <c r="K316" s="165"/>
      <c r="L316" s="165"/>
      <c r="M316" s="165"/>
      <c r="N316" s="165"/>
      <c r="O316" s="165"/>
    </row>
    <row r="317">
      <c r="K317" s="165"/>
      <c r="L317" s="165"/>
      <c r="M317" s="165"/>
      <c r="N317" s="165"/>
      <c r="O317" s="165"/>
    </row>
    <row r="318">
      <c r="K318" s="165"/>
      <c r="L318" s="165"/>
      <c r="M318" s="165"/>
      <c r="N318" s="165"/>
      <c r="O318" s="165"/>
    </row>
    <row r="319">
      <c r="K319" s="165"/>
      <c r="L319" s="165"/>
      <c r="M319" s="165"/>
      <c r="N319" s="165"/>
      <c r="O319" s="165"/>
    </row>
    <row r="320">
      <c r="K320" s="165"/>
      <c r="L320" s="165"/>
      <c r="M320" s="165"/>
      <c r="N320" s="165"/>
      <c r="O320" s="165"/>
    </row>
    <row r="321">
      <c r="K321" s="165"/>
      <c r="L321" s="165"/>
      <c r="M321" s="165"/>
      <c r="N321" s="165"/>
      <c r="O321" s="165"/>
    </row>
    <row r="322">
      <c r="K322" s="165"/>
      <c r="L322" s="165"/>
      <c r="M322" s="165"/>
      <c r="N322" s="165"/>
      <c r="O322" s="165"/>
    </row>
    <row r="323">
      <c r="K323" s="165"/>
      <c r="L323" s="165"/>
      <c r="M323" s="165"/>
      <c r="N323" s="165"/>
      <c r="O323" s="165"/>
    </row>
    <row r="324">
      <c r="K324" s="165"/>
      <c r="L324" s="165"/>
      <c r="M324" s="165"/>
      <c r="N324" s="165"/>
      <c r="O324" s="165"/>
    </row>
    <row r="325">
      <c r="K325" s="165"/>
      <c r="L325" s="165"/>
      <c r="M325" s="165"/>
      <c r="N325" s="165"/>
      <c r="O325" s="165"/>
    </row>
    <row r="326">
      <c r="K326" s="165"/>
      <c r="L326" s="165"/>
      <c r="M326" s="165"/>
      <c r="N326" s="165"/>
      <c r="O326" s="165"/>
    </row>
    <row r="327">
      <c r="K327" s="165"/>
      <c r="L327" s="165"/>
      <c r="M327" s="165"/>
      <c r="N327" s="165"/>
      <c r="O327" s="165"/>
    </row>
    <row r="328">
      <c r="K328" s="165"/>
      <c r="L328" s="165"/>
      <c r="M328" s="165"/>
      <c r="N328" s="165"/>
      <c r="O328" s="165"/>
    </row>
    <row r="329">
      <c r="K329" s="165"/>
      <c r="L329" s="165"/>
      <c r="M329" s="165"/>
      <c r="N329" s="165"/>
      <c r="O329" s="165"/>
    </row>
    <row r="330">
      <c r="K330" s="165"/>
      <c r="L330" s="165"/>
      <c r="M330" s="165"/>
      <c r="N330" s="165"/>
      <c r="O330" s="165"/>
    </row>
    <row r="331">
      <c r="K331" s="165"/>
      <c r="L331" s="165"/>
      <c r="M331" s="165"/>
      <c r="N331" s="165"/>
      <c r="O331" s="165"/>
    </row>
    <row r="332">
      <c r="K332" s="165"/>
      <c r="L332" s="165"/>
      <c r="M332" s="165"/>
      <c r="N332" s="165"/>
      <c r="O332" s="165"/>
    </row>
    <row r="333">
      <c r="K333" s="165"/>
      <c r="L333" s="165"/>
      <c r="M333" s="165"/>
      <c r="N333" s="165"/>
      <c r="O333" s="165"/>
    </row>
    <row r="334">
      <c r="K334" s="165"/>
      <c r="L334" s="165"/>
      <c r="M334" s="165"/>
      <c r="N334" s="165"/>
      <c r="O334" s="165"/>
    </row>
    <row r="335">
      <c r="K335" s="165"/>
      <c r="L335" s="165"/>
      <c r="M335" s="165"/>
      <c r="N335" s="165"/>
      <c r="O335" s="165"/>
    </row>
    <row r="336">
      <c r="K336" s="165"/>
      <c r="L336" s="165"/>
      <c r="M336" s="165"/>
      <c r="N336" s="165"/>
      <c r="O336" s="165"/>
    </row>
    <row r="337">
      <c r="K337" s="165"/>
      <c r="L337" s="165"/>
      <c r="M337" s="165"/>
      <c r="N337" s="165"/>
      <c r="O337" s="165"/>
    </row>
    <row r="338">
      <c r="K338" s="165"/>
      <c r="L338" s="165"/>
      <c r="M338" s="165"/>
      <c r="N338" s="165"/>
      <c r="O338" s="165"/>
    </row>
    <row r="339">
      <c r="K339" s="165"/>
      <c r="L339" s="165"/>
      <c r="M339" s="165"/>
      <c r="N339" s="165"/>
      <c r="O339" s="165"/>
    </row>
    <row r="340">
      <c r="K340" s="165"/>
      <c r="L340" s="165"/>
      <c r="M340" s="165"/>
      <c r="N340" s="165"/>
      <c r="O340" s="165"/>
    </row>
    <row r="341">
      <c r="K341" s="165"/>
      <c r="L341" s="165"/>
      <c r="M341" s="165"/>
      <c r="N341" s="165"/>
      <c r="O341" s="165"/>
    </row>
    <row r="342">
      <c r="K342" s="165"/>
      <c r="L342" s="165"/>
      <c r="M342" s="165"/>
      <c r="N342" s="165"/>
      <c r="O342" s="165"/>
    </row>
    <row r="343">
      <c r="K343" s="165"/>
      <c r="L343" s="165"/>
      <c r="M343" s="165"/>
      <c r="N343" s="165"/>
      <c r="O343" s="165"/>
    </row>
    <row r="344">
      <c r="K344" s="165"/>
      <c r="L344" s="165"/>
      <c r="M344" s="165"/>
      <c r="N344" s="165"/>
      <c r="O344" s="165"/>
    </row>
    <row r="345">
      <c r="K345" s="165"/>
      <c r="L345" s="165"/>
      <c r="M345" s="165"/>
      <c r="N345" s="165"/>
      <c r="O345" s="165"/>
    </row>
    <row r="346">
      <c r="K346" s="165"/>
      <c r="L346" s="165"/>
      <c r="M346" s="165"/>
      <c r="N346" s="165"/>
      <c r="O346" s="165"/>
    </row>
    <row r="347">
      <c r="K347" s="165"/>
      <c r="L347" s="165"/>
      <c r="M347" s="165"/>
      <c r="N347" s="165"/>
      <c r="O347" s="165"/>
    </row>
    <row r="348">
      <c r="K348" s="165"/>
      <c r="L348" s="165"/>
      <c r="M348" s="165"/>
      <c r="N348" s="165"/>
      <c r="O348" s="165"/>
    </row>
    <row r="349">
      <c r="K349" s="165"/>
      <c r="L349" s="165"/>
      <c r="M349" s="165"/>
      <c r="N349" s="165"/>
      <c r="O349" s="165"/>
    </row>
    <row r="350">
      <c r="K350" s="165"/>
      <c r="L350" s="165"/>
      <c r="M350" s="165"/>
      <c r="N350" s="165"/>
      <c r="O350" s="165"/>
    </row>
    <row r="351">
      <c r="K351" s="165"/>
      <c r="L351" s="165"/>
      <c r="M351" s="165"/>
      <c r="N351" s="165"/>
      <c r="O351" s="165"/>
    </row>
    <row r="352">
      <c r="K352" s="165"/>
      <c r="L352" s="165"/>
      <c r="M352" s="165"/>
      <c r="N352" s="165"/>
      <c r="O352" s="165"/>
    </row>
    <row r="353">
      <c r="K353" s="165"/>
      <c r="L353" s="165"/>
      <c r="M353" s="165"/>
      <c r="N353" s="165"/>
      <c r="O353" s="165"/>
    </row>
    <row r="354">
      <c r="K354" s="165"/>
      <c r="L354" s="165"/>
      <c r="M354" s="165"/>
      <c r="N354" s="165"/>
      <c r="O354" s="165"/>
    </row>
    <row r="355">
      <c r="K355" s="165"/>
      <c r="L355" s="165"/>
      <c r="M355" s="165"/>
      <c r="N355" s="165"/>
      <c r="O355" s="165"/>
    </row>
    <row r="356">
      <c r="K356" s="165"/>
      <c r="L356" s="165"/>
      <c r="M356" s="165"/>
      <c r="N356" s="165"/>
      <c r="O356" s="165"/>
    </row>
    <row r="357">
      <c r="K357" s="165"/>
      <c r="L357" s="165"/>
      <c r="M357" s="165"/>
      <c r="N357" s="165"/>
      <c r="O357" s="165"/>
    </row>
    <row r="358">
      <c r="K358" s="165"/>
      <c r="L358" s="165"/>
      <c r="M358" s="165"/>
      <c r="N358" s="165"/>
      <c r="O358" s="165"/>
    </row>
    <row r="359">
      <c r="K359" s="165"/>
      <c r="L359" s="165"/>
      <c r="M359" s="165"/>
      <c r="N359" s="165"/>
      <c r="O359" s="165"/>
    </row>
    <row r="360">
      <c r="K360" s="165"/>
      <c r="L360" s="165"/>
      <c r="M360" s="165"/>
      <c r="N360" s="165"/>
      <c r="O360" s="165"/>
    </row>
    <row r="361">
      <c r="K361" s="165"/>
      <c r="L361" s="165"/>
      <c r="M361" s="165"/>
      <c r="N361" s="165"/>
      <c r="O361" s="165"/>
    </row>
    <row r="362">
      <c r="K362" s="165"/>
      <c r="L362" s="165"/>
      <c r="M362" s="165"/>
      <c r="N362" s="165"/>
      <c r="O362" s="165"/>
    </row>
    <row r="363">
      <c r="K363" s="165"/>
      <c r="L363" s="165"/>
      <c r="M363" s="165"/>
      <c r="N363" s="165"/>
      <c r="O363" s="165"/>
    </row>
    <row r="364">
      <c r="K364" s="165"/>
      <c r="L364" s="165"/>
      <c r="M364" s="165"/>
      <c r="N364" s="165"/>
      <c r="O364" s="165"/>
    </row>
    <row r="365">
      <c r="K365" s="165"/>
      <c r="L365" s="165"/>
      <c r="M365" s="165"/>
      <c r="N365" s="165"/>
      <c r="O365" s="165"/>
    </row>
    <row r="366">
      <c r="K366" s="165"/>
      <c r="L366" s="165"/>
      <c r="M366" s="165"/>
      <c r="N366" s="165"/>
      <c r="O366" s="165"/>
    </row>
    <row r="367">
      <c r="K367" s="165"/>
      <c r="L367" s="165"/>
      <c r="M367" s="165"/>
      <c r="N367" s="165"/>
      <c r="O367" s="165"/>
    </row>
    <row r="368">
      <c r="K368" s="165"/>
      <c r="L368" s="165"/>
      <c r="M368" s="165"/>
      <c r="N368" s="165"/>
      <c r="O368" s="165"/>
    </row>
    <row r="369">
      <c r="K369" s="165"/>
      <c r="L369" s="165"/>
      <c r="M369" s="165"/>
      <c r="N369" s="165"/>
      <c r="O369" s="165"/>
    </row>
    <row r="370">
      <c r="K370" s="165"/>
      <c r="L370" s="165"/>
      <c r="M370" s="165"/>
      <c r="N370" s="165"/>
      <c r="O370" s="165"/>
    </row>
    <row r="371">
      <c r="K371" s="165"/>
      <c r="L371" s="165"/>
      <c r="M371" s="165"/>
      <c r="N371" s="165"/>
      <c r="O371" s="165"/>
    </row>
    <row r="372">
      <c r="K372" s="165"/>
      <c r="L372" s="165"/>
      <c r="M372" s="165"/>
      <c r="N372" s="165"/>
      <c r="O372" s="165"/>
    </row>
    <row r="373">
      <c r="K373" s="165"/>
      <c r="L373" s="165"/>
      <c r="M373" s="165"/>
      <c r="N373" s="165"/>
      <c r="O373" s="165"/>
    </row>
    <row r="374">
      <c r="K374" s="165"/>
      <c r="L374" s="165"/>
      <c r="M374" s="165"/>
      <c r="N374" s="165"/>
      <c r="O374" s="165"/>
    </row>
    <row r="375">
      <c r="K375" s="165"/>
      <c r="L375" s="165"/>
      <c r="M375" s="165"/>
      <c r="N375" s="165"/>
      <c r="O375" s="165"/>
    </row>
    <row r="376">
      <c r="K376" s="165"/>
      <c r="L376" s="165"/>
      <c r="M376" s="165"/>
      <c r="N376" s="165"/>
      <c r="O376" s="165"/>
    </row>
    <row r="377">
      <c r="K377" s="165"/>
      <c r="L377" s="165"/>
      <c r="M377" s="165"/>
      <c r="N377" s="165"/>
      <c r="O377" s="165"/>
    </row>
    <row r="378">
      <c r="K378" s="165"/>
      <c r="L378" s="165"/>
      <c r="M378" s="165"/>
      <c r="N378" s="165"/>
      <c r="O378" s="165"/>
    </row>
    <row r="379">
      <c r="K379" s="165"/>
      <c r="L379" s="165"/>
      <c r="M379" s="165"/>
      <c r="N379" s="165"/>
      <c r="O379" s="165"/>
    </row>
    <row r="380">
      <c r="K380" s="165"/>
      <c r="L380" s="165"/>
      <c r="M380" s="165"/>
      <c r="N380" s="165"/>
      <c r="O380" s="165"/>
    </row>
    <row r="381">
      <c r="K381" s="165"/>
      <c r="L381" s="165"/>
      <c r="M381" s="165"/>
      <c r="N381" s="165"/>
      <c r="O381" s="165"/>
    </row>
    <row r="382">
      <c r="K382" s="165"/>
      <c r="L382" s="165"/>
      <c r="M382" s="165"/>
      <c r="N382" s="165"/>
      <c r="O382" s="165"/>
    </row>
    <row r="383">
      <c r="K383" s="165"/>
      <c r="L383" s="165"/>
      <c r="M383" s="165"/>
      <c r="N383" s="165"/>
      <c r="O383" s="165"/>
    </row>
    <row r="384">
      <c r="K384" s="165"/>
      <c r="L384" s="165"/>
      <c r="M384" s="165"/>
      <c r="N384" s="165"/>
      <c r="O384" s="165"/>
    </row>
    <row r="385">
      <c r="K385" s="165"/>
      <c r="L385" s="165"/>
      <c r="M385" s="165"/>
      <c r="N385" s="165"/>
      <c r="O385" s="165"/>
    </row>
    <row r="386">
      <c r="K386" s="165"/>
      <c r="L386" s="165"/>
      <c r="M386" s="165"/>
      <c r="N386" s="165"/>
      <c r="O386" s="165"/>
    </row>
    <row r="387">
      <c r="K387" s="165"/>
      <c r="L387" s="165"/>
      <c r="M387" s="165"/>
      <c r="N387" s="165"/>
      <c r="O387" s="165"/>
    </row>
    <row r="388">
      <c r="K388" s="165"/>
      <c r="L388" s="165"/>
      <c r="M388" s="165"/>
      <c r="N388" s="165"/>
      <c r="O388" s="165"/>
    </row>
    <row r="389">
      <c r="K389" s="165"/>
      <c r="L389" s="165"/>
      <c r="M389" s="165"/>
      <c r="N389" s="165"/>
      <c r="O389" s="165"/>
    </row>
    <row r="390">
      <c r="K390" s="165"/>
      <c r="L390" s="165"/>
      <c r="M390" s="165"/>
      <c r="N390" s="165"/>
      <c r="O390" s="165"/>
    </row>
    <row r="391">
      <c r="K391" s="165"/>
      <c r="L391" s="165"/>
      <c r="M391" s="165"/>
      <c r="N391" s="165"/>
      <c r="O391" s="165"/>
    </row>
    <row r="392">
      <c r="K392" s="165"/>
      <c r="L392" s="165"/>
      <c r="M392" s="165"/>
      <c r="N392" s="165"/>
      <c r="O392" s="165"/>
    </row>
    <row r="393">
      <c r="K393" s="165"/>
      <c r="L393" s="165"/>
      <c r="M393" s="165"/>
      <c r="N393" s="165"/>
      <c r="O393" s="165"/>
    </row>
    <row r="394">
      <c r="K394" s="165"/>
      <c r="L394" s="165"/>
      <c r="M394" s="165"/>
      <c r="N394" s="165"/>
      <c r="O394" s="165"/>
    </row>
    <row r="395">
      <c r="K395" s="165"/>
      <c r="L395" s="165"/>
      <c r="M395" s="165"/>
      <c r="N395" s="165"/>
      <c r="O395" s="165"/>
    </row>
    <row r="396">
      <c r="K396" s="165"/>
      <c r="L396" s="165"/>
      <c r="M396" s="165"/>
      <c r="N396" s="165"/>
      <c r="O396" s="165"/>
    </row>
    <row r="397">
      <c r="K397" s="165"/>
      <c r="L397" s="165"/>
      <c r="M397" s="165"/>
      <c r="N397" s="165"/>
      <c r="O397" s="165"/>
    </row>
    <row r="398">
      <c r="K398" s="165"/>
      <c r="L398" s="165"/>
      <c r="M398" s="165"/>
      <c r="N398" s="165"/>
      <c r="O398" s="165"/>
    </row>
    <row r="399">
      <c r="K399" s="165"/>
      <c r="L399" s="165"/>
      <c r="M399" s="165"/>
      <c r="N399" s="165"/>
      <c r="O399" s="165"/>
    </row>
    <row r="400">
      <c r="K400" s="165"/>
      <c r="L400" s="165"/>
      <c r="M400" s="165"/>
      <c r="N400" s="165"/>
      <c r="O400" s="165"/>
    </row>
    <row r="401">
      <c r="K401" s="165"/>
      <c r="L401" s="165"/>
      <c r="M401" s="165"/>
      <c r="N401" s="165"/>
      <c r="O401" s="165"/>
    </row>
    <row r="402">
      <c r="K402" s="165"/>
      <c r="L402" s="165"/>
      <c r="M402" s="165"/>
      <c r="N402" s="165"/>
      <c r="O402" s="165"/>
    </row>
    <row r="403">
      <c r="K403" s="165"/>
      <c r="L403" s="165"/>
      <c r="M403" s="165"/>
      <c r="N403" s="165"/>
      <c r="O403" s="165"/>
    </row>
    <row r="404">
      <c r="K404" s="165"/>
      <c r="L404" s="165"/>
      <c r="M404" s="165"/>
      <c r="N404" s="165"/>
      <c r="O404" s="165"/>
    </row>
    <row r="405">
      <c r="K405" s="165"/>
      <c r="L405" s="165"/>
      <c r="M405" s="165"/>
      <c r="N405" s="165"/>
      <c r="O405" s="165"/>
    </row>
    <row r="406">
      <c r="K406" s="165"/>
      <c r="L406" s="165"/>
      <c r="M406" s="165"/>
      <c r="N406" s="165"/>
      <c r="O406" s="165"/>
    </row>
    <row r="407">
      <c r="K407" s="165"/>
      <c r="L407" s="165"/>
      <c r="M407" s="165"/>
      <c r="N407" s="165"/>
      <c r="O407" s="165"/>
    </row>
    <row r="408">
      <c r="K408" s="165"/>
      <c r="L408" s="165"/>
      <c r="M408" s="165"/>
      <c r="N408" s="165"/>
      <c r="O408" s="165"/>
    </row>
    <row r="409">
      <c r="K409" s="165"/>
      <c r="L409" s="165"/>
      <c r="M409" s="165"/>
      <c r="N409" s="165"/>
      <c r="O409" s="165"/>
    </row>
    <row r="410">
      <c r="K410" s="165"/>
      <c r="L410" s="165"/>
      <c r="M410" s="165"/>
      <c r="N410" s="165"/>
      <c r="O410" s="165"/>
    </row>
    <row r="411">
      <c r="K411" s="165"/>
      <c r="L411" s="165"/>
      <c r="M411" s="165"/>
      <c r="N411" s="165"/>
      <c r="O411" s="165"/>
    </row>
    <row r="412">
      <c r="K412" s="165"/>
      <c r="L412" s="165"/>
      <c r="M412" s="165"/>
      <c r="N412" s="165"/>
      <c r="O412" s="165"/>
    </row>
    <row r="413">
      <c r="K413" s="165"/>
      <c r="L413" s="165"/>
      <c r="M413" s="165"/>
      <c r="N413" s="165"/>
      <c r="O413" s="165"/>
    </row>
    <row r="414">
      <c r="K414" s="165"/>
      <c r="L414" s="165"/>
      <c r="M414" s="165"/>
      <c r="N414" s="165"/>
      <c r="O414" s="165"/>
    </row>
    <row r="415">
      <c r="K415" s="165"/>
      <c r="L415" s="165"/>
      <c r="M415" s="165"/>
      <c r="N415" s="165"/>
      <c r="O415" s="165"/>
    </row>
    <row r="416">
      <c r="K416" s="165"/>
      <c r="L416" s="165"/>
      <c r="M416" s="165"/>
      <c r="N416" s="165"/>
      <c r="O416" s="165"/>
    </row>
    <row r="417">
      <c r="K417" s="165"/>
      <c r="L417" s="165"/>
      <c r="M417" s="165"/>
      <c r="N417" s="165"/>
      <c r="O417" s="165"/>
    </row>
    <row r="418">
      <c r="K418" s="165"/>
      <c r="L418" s="165"/>
      <c r="M418" s="165"/>
      <c r="N418" s="165"/>
      <c r="O418" s="165"/>
    </row>
    <row r="419">
      <c r="K419" s="165"/>
      <c r="L419" s="165"/>
      <c r="M419" s="165"/>
      <c r="N419" s="165"/>
      <c r="O419" s="165"/>
    </row>
    <row r="420">
      <c r="K420" s="165"/>
      <c r="L420" s="165"/>
      <c r="M420" s="165"/>
      <c r="N420" s="165"/>
      <c r="O420" s="165"/>
    </row>
    <row r="421">
      <c r="K421" s="165"/>
      <c r="L421" s="165"/>
      <c r="M421" s="165"/>
      <c r="N421" s="165"/>
      <c r="O421" s="165"/>
    </row>
    <row r="422">
      <c r="K422" s="165"/>
      <c r="L422" s="165"/>
      <c r="M422" s="165"/>
      <c r="N422" s="165"/>
      <c r="O422" s="165"/>
    </row>
    <row r="423">
      <c r="K423" s="165"/>
      <c r="L423" s="165"/>
      <c r="M423" s="165"/>
      <c r="N423" s="165"/>
      <c r="O423" s="165"/>
    </row>
    <row r="424">
      <c r="K424" s="165"/>
      <c r="L424" s="165"/>
      <c r="M424" s="165"/>
      <c r="N424" s="165"/>
      <c r="O424" s="165"/>
    </row>
    <row r="425">
      <c r="K425" s="165"/>
      <c r="L425" s="165"/>
      <c r="M425" s="165"/>
      <c r="N425" s="165"/>
      <c r="O425" s="165"/>
    </row>
    <row r="426">
      <c r="K426" s="165"/>
      <c r="L426" s="165"/>
      <c r="M426" s="165"/>
      <c r="N426" s="165"/>
      <c r="O426" s="165"/>
    </row>
    <row r="427">
      <c r="K427" s="165"/>
      <c r="L427" s="165"/>
      <c r="M427" s="165"/>
      <c r="N427" s="165"/>
      <c r="O427" s="165"/>
    </row>
    <row r="428">
      <c r="K428" s="165"/>
      <c r="L428" s="165"/>
      <c r="M428" s="165"/>
      <c r="N428" s="165"/>
      <c r="O428" s="165"/>
    </row>
    <row r="429">
      <c r="K429" s="165"/>
      <c r="L429" s="165"/>
      <c r="M429" s="165"/>
      <c r="N429" s="165"/>
      <c r="O429" s="165"/>
    </row>
    <row r="430">
      <c r="K430" s="165"/>
      <c r="L430" s="165"/>
      <c r="M430" s="165"/>
      <c r="N430" s="165"/>
      <c r="O430" s="165"/>
    </row>
    <row r="431">
      <c r="K431" s="165"/>
      <c r="L431" s="165"/>
      <c r="M431" s="165"/>
      <c r="N431" s="165"/>
      <c r="O431" s="165"/>
    </row>
    <row r="432">
      <c r="K432" s="165"/>
      <c r="L432" s="165"/>
      <c r="M432" s="165"/>
      <c r="N432" s="165"/>
      <c r="O432" s="165"/>
    </row>
    <row r="433">
      <c r="K433" s="165"/>
      <c r="L433" s="165"/>
      <c r="M433" s="165"/>
      <c r="N433" s="165"/>
      <c r="O433" s="165"/>
    </row>
    <row r="434">
      <c r="K434" s="165"/>
      <c r="L434" s="165"/>
      <c r="M434" s="165"/>
      <c r="N434" s="165"/>
      <c r="O434" s="165"/>
    </row>
    <row r="435">
      <c r="K435" s="165"/>
      <c r="L435" s="165"/>
      <c r="M435" s="165"/>
      <c r="N435" s="165"/>
      <c r="O435" s="165"/>
    </row>
    <row r="436">
      <c r="K436" s="165"/>
      <c r="L436" s="165"/>
      <c r="M436" s="165"/>
      <c r="N436" s="165"/>
      <c r="O436" s="165"/>
    </row>
    <row r="437">
      <c r="K437" s="165"/>
      <c r="L437" s="165"/>
      <c r="M437" s="165"/>
      <c r="N437" s="165"/>
      <c r="O437" s="165"/>
    </row>
    <row r="438">
      <c r="K438" s="165"/>
      <c r="L438" s="165"/>
      <c r="M438" s="165"/>
      <c r="N438" s="165"/>
      <c r="O438" s="165"/>
    </row>
    <row r="439">
      <c r="K439" s="165"/>
      <c r="L439" s="165"/>
      <c r="M439" s="165"/>
      <c r="N439" s="165"/>
      <c r="O439" s="165"/>
    </row>
    <row r="440">
      <c r="K440" s="165"/>
      <c r="L440" s="165"/>
      <c r="M440" s="165"/>
      <c r="N440" s="165"/>
      <c r="O440" s="165"/>
    </row>
    <row r="441">
      <c r="K441" s="165"/>
      <c r="L441" s="165"/>
      <c r="M441" s="165"/>
      <c r="N441" s="165"/>
      <c r="O441" s="165"/>
    </row>
    <row r="442">
      <c r="K442" s="165"/>
      <c r="L442" s="165"/>
      <c r="M442" s="165"/>
      <c r="N442" s="165"/>
      <c r="O442" s="165"/>
    </row>
    <row r="443">
      <c r="K443" s="165"/>
      <c r="L443" s="165"/>
      <c r="M443" s="165"/>
      <c r="N443" s="165"/>
      <c r="O443" s="165"/>
    </row>
    <row r="444">
      <c r="K444" s="165"/>
      <c r="L444" s="165"/>
      <c r="M444" s="165"/>
      <c r="N444" s="165"/>
      <c r="O444" s="165"/>
    </row>
    <row r="445">
      <c r="K445" s="165"/>
      <c r="L445" s="165"/>
      <c r="M445" s="165"/>
      <c r="N445" s="165"/>
      <c r="O445" s="165"/>
    </row>
    <row r="446">
      <c r="K446" s="165"/>
      <c r="L446" s="165"/>
      <c r="M446" s="165"/>
      <c r="N446" s="165"/>
      <c r="O446" s="165"/>
    </row>
    <row r="447">
      <c r="K447" s="165"/>
      <c r="L447" s="165"/>
      <c r="M447" s="165"/>
      <c r="N447" s="165"/>
      <c r="O447" s="165"/>
    </row>
    <row r="448">
      <c r="K448" s="165"/>
      <c r="L448" s="165"/>
      <c r="M448" s="165"/>
      <c r="N448" s="165"/>
      <c r="O448" s="165"/>
    </row>
    <row r="449">
      <c r="K449" s="165"/>
      <c r="L449" s="165"/>
      <c r="M449" s="165"/>
      <c r="N449" s="165"/>
      <c r="O449" s="165"/>
    </row>
    <row r="450">
      <c r="K450" s="165"/>
      <c r="L450" s="165"/>
      <c r="M450" s="165"/>
      <c r="N450" s="165"/>
      <c r="O450" s="165"/>
    </row>
    <row r="451">
      <c r="K451" s="165"/>
      <c r="L451" s="165"/>
      <c r="M451" s="165"/>
      <c r="N451" s="165"/>
      <c r="O451" s="165"/>
    </row>
    <row r="452">
      <c r="K452" s="165"/>
      <c r="L452" s="165"/>
      <c r="M452" s="165"/>
      <c r="N452" s="165"/>
      <c r="O452" s="165"/>
    </row>
    <row r="453">
      <c r="K453" s="165"/>
      <c r="L453" s="165"/>
      <c r="M453" s="165"/>
      <c r="N453" s="165"/>
      <c r="O453" s="165"/>
    </row>
    <row r="454">
      <c r="K454" s="165"/>
      <c r="L454" s="165"/>
      <c r="M454" s="165"/>
      <c r="N454" s="165"/>
      <c r="O454" s="165"/>
    </row>
    <row r="455">
      <c r="K455" s="165"/>
      <c r="L455" s="165"/>
      <c r="M455" s="165"/>
      <c r="N455" s="165"/>
      <c r="O455" s="165"/>
    </row>
    <row r="456">
      <c r="K456" s="165"/>
      <c r="L456" s="165"/>
      <c r="M456" s="165"/>
      <c r="N456" s="165"/>
      <c r="O456" s="165"/>
    </row>
    <row r="457">
      <c r="K457" s="165"/>
      <c r="L457" s="165"/>
      <c r="M457" s="165"/>
      <c r="N457" s="165"/>
      <c r="O457" s="165"/>
    </row>
    <row r="458">
      <c r="K458" s="165"/>
      <c r="L458" s="165"/>
      <c r="M458" s="165"/>
      <c r="N458" s="165"/>
      <c r="O458" s="165"/>
    </row>
    <row r="459">
      <c r="K459" s="165"/>
      <c r="L459" s="165"/>
      <c r="M459" s="165"/>
      <c r="N459" s="165"/>
      <c r="O459" s="165"/>
    </row>
    <row r="460">
      <c r="K460" s="165"/>
      <c r="L460" s="165"/>
      <c r="M460" s="165"/>
      <c r="N460" s="165"/>
      <c r="O460" s="165"/>
    </row>
    <row r="461">
      <c r="K461" s="165"/>
      <c r="L461" s="165"/>
      <c r="M461" s="165"/>
      <c r="N461" s="165"/>
      <c r="O461" s="165"/>
    </row>
    <row r="462">
      <c r="K462" s="165"/>
      <c r="L462" s="165"/>
      <c r="M462" s="165"/>
      <c r="N462" s="165"/>
      <c r="O462" s="165"/>
    </row>
    <row r="463">
      <c r="K463" s="165"/>
      <c r="L463" s="165"/>
      <c r="M463" s="165"/>
      <c r="N463" s="165"/>
      <c r="O463" s="165"/>
    </row>
    <row r="464">
      <c r="K464" s="165"/>
      <c r="L464" s="165"/>
      <c r="M464" s="165"/>
      <c r="N464" s="165"/>
      <c r="O464" s="165"/>
    </row>
    <row r="465">
      <c r="K465" s="165"/>
      <c r="L465" s="165"/>
      <c r="M465" s="165"/>
      <c r="N465" s="165"/>
      <c r="O465" s="165"/>
    </row>
    <row r="466">
      <c r="K466" s="165"/>
      <c r="L466" s="165"/>
      <c r="M466" s="165"/>
      <c r="N466" s="165"/>
      <c r="O466" s="165"/>
    </row>
    <row r="467">
      <c r="K467" s="165"/>
      <c r="L467" s="165"/>
      <c r="M467" s="165"/>
      <c r="N467" s="165"/>
      <c r="O467" s="165"/>
    </row>
    <row r="468">
      <c r="K468" s="165"/>
      <c r="L468" s="165"/>
      <c r="M468" s="165"/>
      <c r="N468" s="165"/>
      <c r="O468" s="165"/>
    </row>
    <row r="469">
      <c r="K469" s="165"/>
      <c r="L469" s="165"/>
      <c r="M469" s="165"/>
      <c r="N469" s="165"/>
      <c r="O469" s="165"/>
    </row>
    <row r="470">
      <c r="K470" s="165"/>
      <c r="L470" s="165"/>
      <c r="M470" s="165"/>
      <c r="N470" s="165"/>
      <c r="O470" s="165"/>
    </row>
    <row r="471">
      <c r="K471" s="165"/>
      <c r="L471" s="165"/>
      <c r="M471" s="165"/>
      <c r="N471" s="165"/>
      <c r="O471" s="165"/>
    </row>
    <row r="472">
      <c r="K472" s="165"/>
      <c r="L472" s="165"/>
      <c r="M472" s="165"/>
      <c r="N472" s="165"/>
      <c r="O472" s="165"/>
    </row>
    <row r="473">
      <c r="K473" s="165"/>
      <c r="L473" s="165"/>
      <c r="M473" s="165"/>
      <c r="N473" s="165"/>
      <c r="O473" s="165"/>
    </row>
    <row r="474">
      <c r="K474" s="165"/>
      <c r="L474" s="165"/>
      <c r="M474" s="165"/>
      <c r="N474" s="165"/>
      <c r="O474" s="165"/>
    </row>
    <row r="475">
      <c r="K475" s="165"/>
      <c r="L475" s="165"/>
      <c r="M475" s="165"/>
      <c r="N475" s="165"/>
      <c r="O475" s="165"/>
    </row>
    <row r="476">
      <c r="K476" s="165"/>
      <c r="L476" s="165"/>
      <c r="M476" s="165"/>
      <c r="N476" s="165"/>
      <c r="O476" s="165"/>
    </row>
    <row r="477">
      <c r="K477" s="165"/>
      <c r="L477" s="165"/>
      <c r="M477" s="165"/>
      <c r="N477" s="165"/>
      <c r="O477" s="165"/>
    </row>
    <row r="478">
      <c r="K478" s="165"/>
      <c r="L478" s="165"/>
      <c r="M478" s="165"/>
      <c r="N478" s="165"/>
      <c r="O478" s="165"/>
    </row>
    <row r="479">
      <c r="K479" s="165"/>
      <c r="L479" s="165"/>
      <c r="M479" s="165"/>
      <c r="N479" s="165"/>
      <c r="O479" s="165"/>
    </row>
    <row r="480">
      <c r="K480" s="165"/>
      <c r="L480" s="165"/>
      <c r="M480" s="165"/>
      <c r="N480" s="165"/>
      <c r="O480" s="165"/>
    </row>
    <row r="481">
      <c r="K481" s="165"/>
      <c r="L481" s="165"/>
      <c r="M481" s="165"/>
      <c r="N481" s="165"/>
      <c r="O481" s="165"/>
    </row>
    <row r="482">
      <c r="K482" s="165"/>
      <c r="L482" s="165"/>
      <c r="M482" s="165"/>
      <c r="N482" s="165"/>
      <c r="O482" s="165"/>
    </row>
    <row r="483">
      <c r="K483" s="165"/>
      <c r="L483" s="165"/>
      <c r="M483" s="165"/>
      <c r="N483" s="165"/>
      <c r="O483" s="165"/>
    </row>
    <row r="484">
      <c r="K484" s="165"/>
      <c r="L484" s="165"/>
      <c r="M484" s="165"/>
      <c r="N484" s="165"/>
      <c r="O484" s="165"/>
    </row>
    <row r="485">
      <c r="K485" s="165"/>
      <c r="L485" s="165"/>
      <c r="M485" s="165"/>
      <c r="N485" s="165"/>
      <c r="O485" s="165"/>
    </row>
    <row r="486">
      <c r="K486" s="165"/>
      <c r="L486" s="165"/>
      <c r="M486" s="165"/>
      <c r="N486" s="165"/>
      <c r="O486" s="165"/>
    </row>
    <row r="487">
      <c r="K487" s="165"/>
      <c r="L487" s="165"/>
      <c r="M487" s="165"/>
      <c r="N487" s="165"/>
      <c r="O487" s="165"/>
    </row>
    <row r="488">
      <c r="K488" s="165"/>
      <c r="L488" s="165"/>
      <c r="M488" s="165"/>
      <c r="N488" s="165"/>
      <c r="O488" s="165"/>
    </row>
    <row r="489">
      <c r="K489" s="165"/>
      <c r="L489" s="165"/>
      <c r="M489" s="165"/>
      <c r="N489" s="165"/>
      <c r="O489" s="165"/>
    </row>
    <row r="490">
      <c r="K490" s="165"/>
      <c r="L490" s="165"/>
      <c r="M490" s="165"/>
      <c r="N490" s="165"/>
      <c r="O490" s="165"/>
    </row>
    <row r="491">
      <c r="K491" s="165"/>
      <c r="L491" s="165"/>
      <c r="M491" s="165"/>
      <c r="N491" s="165"/>
      <c r="O491" s="165"/>
    </row>
    <row r="492">
      <c r="K492" s="165"/>
      <c r="L492" s="165"/>
      <c r="M492" s="165"/>
      <c r="N492" s="165"/>
      <c r="O492" s="165"/>
    </row>
    <row r="493">
      <c r="K493" s="165"/>
      <c r="L493" s="165"/>
      <c r="M493" s="165"/>
      <c r="N493" s="165"/>
      <c r="O493" s="165"/>
    </row>
    <row r="494">
      <c r="K494" s="165"/>
      <c r="L494" s="165"/>
      <c r="M494" s="165"/>
      <c r="N494" s="165"/>
      <c r="O494" s="165"/>
    </row>
    <row r="495">
      <c r="K495" s="165"/>
      <c r="L495" s="165"/>
      <c r="M495" s="165"/>
      <c r="N495" s="165"/>
      <c r="O495" s="165"/>
    </row>
    <row r="496">
      <c r="K496" s="165"/>
      <c r="L496" s="165"/>
      <c r="M496" s="165"/>
      <c r="N496" s="165"/>
      <c r="O496" s="165"/>
    </row>
    <row r="497">
      <c r="K497" s="165"/>
      <c r="L497" s="165"/>
      <c r="M497" s="165"/>
      <c r="N497" s="165"/>
      <c r="O497" s="165"/>
    </row>
    <row r="498">
      <c r="K498" s="165"/>
      <c r="L498" s="165"/>
      <c r="M498" s="165"/>
      <c r="N498" s="165"/>
      <c r="O498" s="165"/>
    </row>
    <row r="499">
      <c r="K499" s="165"/>
      <c r="L499" s="165"/>
      <c r="M499" s="165"/>
      <c r="N499" s="165"/>
      <c r="O499" s="165"/>
    </row>
    <row r="500">
      <c r="K500" s="165"/>
      <c r="L500" s="165"/>
      <c r="M500" s="165"/>
      <c r="N500" s="165"/>
      <c r="O500" s="165"/>
    </row>
    <row r="501">
      <c r="K501" s="165"/>
      <c r="L501" s="165"/>
      <c r="M501" s="165"/>
      <c r="N501" s="165"/>
      <c r="O501" s="165"/>
    </row>
    <row r="502">
      <c r="K502" s="165"/>
      <c r="L502" s="165"/>
      <c r="M502" s="165"/>
      <c r="N502" s="165"/>
      <c r="O502" s="165"/>
    </row>
    <row r="503">
      <c r="K503" s="165"/>
      <c r="L503" s="165"/>
      <c r="M503" s="165"/>
      <c r="N503" s="165"/>
      <c r="O503" s="165"/>
    </row>
    <row r="504">
      <c r="K504" s="165"/>
      <c r="L504" s="165"/>
      <c r="M504" s="165"/>
      <c r="N504" s="165"/>
      <c r="O504" s="165"/>
    </row>
    <row r="505">
      <c r="K505" s="165"/>
      <c r="L505" s="165"/>
      <c r="M505" s="165"/>
      <c r="N505" s="165"/>
      <c r="O505" s="165"/>
    </row>
    <row r="506">
      <c r="K506" s="165"/>
      <c r="L506" s="165"/>
      <c r="M506" s="165"/>
      <c r="N506" s="165"/>
      <c r="O506" s="165"/>
    </row>
    <row r="507">
      <c r="K507" s="165"/>
      <c r="L507" s="165"/>
      <c r="M507" s="165"/>
      <c r="N507" s="165"/>
      <c r="O507" s="165"/>
    </row>
    <row r="508">
      <c r="K508" s="165"/>
      <c r="L508" s="165"/>
      <c r="M508" s="165"/>
      <c r="N508" s="165"/>
      <c r="O508" s="165"/>
    </row>
    <row r="509">
      <c r="K509" s="165"/>
      <c r="L509" s="165"/>
      <c r="M509" s="165"/>
      <c r="N509" s="165"/>
      <c r="O509" s="165"/>
    </row>
    <row r="510">
      <c r="K510" s="165"/>
      <c r="L510" s="165"/>
      <c r="M510" s="165"/>
      <c r="N510" s="165"/>
      <c r="O510" s="165"/>
    </row>
    <row r="511">
      <c r="K511" s="165"/>
      <c r="L511" s="165"/>
      <c r="M511" s="165"/>
      <c r="N511" s="165"/>
      <c r="O511" s="165"/>
    </row>
    <row r="512">
      <c r="K512" s="165"/>
      <c r="L512" s="165"/>
      <c r="M512" s="165"/>
      <c r="N512" s="165"/>
      <c r="O512" s="165"/>
    </row>
    <row r="513">
      <c r="K513" s="165"/>
      <c r="L513" s="165"/>
      <c r="M513" s="165"/>
      <c r="N513" s="165"/>
      <c r="O513" s="165"/>
    </row>
    <row r="514">
      <c r="K514" s="165"/>
      <c r="L514" s="165"/>
      <c r="M514" s="165"/>
      <c r="N514" s="165"/>
      <c r="O514" s="165"/>
    </row>
    <row r="515">
      <c r="K515" s="165"/>
      <c r="L515" s="165"/>
      <c r="M515" s="165"/>
      <c r="N515" s="165"/>
      <c r="O515" s="165"/>
    </row>
    <row r="516">
      <c r="K516" s="165"/>
      <c r="L516" s="165"/>
      <c r="M516" s="165"/>
      <c r="N516" s="165"/>
      <c r="O516" s="165"/>
    </row>
    <row r="517">
      <c r="K517" s="165"/>
      <c r="L517" s="165"/>
      <c r="M517" s="165"/>
      <c r="N517" s="165"/>
      <c r="O517" s="165"/>
    </row>
    <row r="518">
      <c r="K518" s="165"/>
      <c r="L518" s="165"/>
      <c r="M518" s="165"/>
      <c r="N518" s="165"/>
      <c r="O518" s="165"/>
    </row>
    <row r="519">
      <c r="K519" s="165"/>
      <c r="L519" s="165"/>
      <c r="M519" s="165"/>
      <c r="N519" s="165"/>
      <c r="O519" s="165"/>
    </row>
    <row r="520">
      <c r="K520" s="165"/>
      <c r="L520" s="165"/>
      <c r="M520" s="165"/>
      <c r="N520" s="165"/>
      <c r="O520" s="165"/>
    </row>
    <row r="521">
      <c r="K521" s="165"/>
      <c r="L521" s="165"/>
      <c r="M521" s="165"/>
      <c r="N521" s="165"/>
      <c r="O521" s="165"/>
    </row>
    <row r="522">
      <c r="K522" s="165"/>
      <c r="L522" s="165"/>
      <c r="M522" s="165"/>
      <c r="N522" s="165"/>
      <c r="O522" s="165"/>
    </row>
    <row r="523">
      <c r="K523" s="165"/>
      <c r="L523" s="165"/>
      <c r="M523" s="165"/>
      <c r="N523" s="165"/>
      <c r="O523" s="165"/>
    </row>
    <row r="524">
      <c r="K524" s="165"/>
      <c r="L524" s="165"/>
      <c r="M524" s="165"/>
      <c r="N524" s="165"/>
      <c r="O524" s="165"/>
    </row>
    <row r="525">
      <c r="K525" s="165"/>
      <c r="L525" s="165"/>
      <c r="M525" s="165"/>
      <c r="N525" s="165"/>
      <c r="O525" s="165"/>
    </row>
    <row r="526">
      <c r="K526" s="165"/>
      <c r="L526" s="165"/>
      <c r="M526" s="165"/>
      <c r="N526" s="165"/>
      <c r="O526" s="165"/>
    </row>
    <row r="527">
      <c r="K527" s="165"/>
      <c r="L527" s="165"/>
      <c r="M527" s="165"/>
      <c r="N527" s="165"/>
      <c r="O527" s="165"/>
    </row>
    <row r="528">
      <c r="K528" s="165"/>
      <c r="L528" s="165"/>
      <c r="M528" s="165"/>
      <c r="N528" s="165"/>
      <c r="O528" s="165"/>
    </row>
    <row r="529">
      <c r="K529" s="165"/>
      <c r="L529" s="165"/>
      <c r="M529" s="165"/>
      <c r="N529" s="165"/>
      <c r="O529" s="165"/>
    </row>
    <row r="530">
      <c r="K530" s="165"/>
      <c r="L530" s="165"/>
      <c r="M530" s="165"/>
      <c r="N530" s="165"/>
      <c r="O530" s="165"/>
    </row>
    <row r="531">
      <c r="K531" s="165"/>
      <c r="L531" s="165"/>
      <c r="M531" s="165"/>
      <c r="N531" s="165"/>
      <c r="O531" s="165"/>
    </row>
    <row r="532">
      <c r="K532" s="165"/>
      <c r="L532" s="165"/>
      <c r="M532" s="165"/>
      <c r="N532" s="165"/>
      <c r="O532" s="165"/>
    </row>
    <row r="533">
      <c r="K533" s="165"/>
      <c r="L533" s="165"/>
      <c r="M533" s="165"/>
      <c r="N533" s="165"/>
      <c r="O533" s="165"/>
    </row>
    <row r="534">
      <c r="K534" s="165"/>
      <c r="L534" s="165"/>
      <c r="M534" s="165"/>
      <c r="N534" s="165"/>
      <c r="O534" s="165"/>
    </row>
    <row r="535">
      <c r="K535" s="165"/>
      <c r="L535" s="165"/>
      <c r="M535" s="165"/>
      <c r="N535" s="165"/>
      <c r="O535" s="165"/>
    </row>
    <row r="536">
      <c r="K536" s="165"/>
      <c r="L536" s="165"/>
      <c r="M536" s="165"/>
      <c r="N536" s="165"/>
      <c r="O536" s="165"/>
    </row>
    <row r="537">
      <c r="K537" s="165"/>
      <c r="L537" s="165"/>
      <c r="M537" s="165"/>
      <c r="N537" s="165"/>
      <c r="O537" s="165"/>
    </row>
    <row r="538">
      <c r="K538" s="165"/>
      <c r="L538" s="165"/>
      <c r="M538" s="165"/>
      <c r="N538" s="165"/>
      <c r="O538" s="165"/>
    </row>
    <row r="539">
      <c r="K539" s="165"/>
      <c r="L539" s="165"/>
      <c r="M539" s="165"/>
      <c r="N539" s="165"/>
      <c r="O539" s="165"/>
    </row>
    <row r="540">
      <c r="K540" s="165"/>
      <c r="L540" s="165"/>
      <c r="M540" s="165"/>
      <c r="N540" s="165"/>
      <c r="O540" s="165"/>
    </row>
    <row r="541">
      <c r="K541" s="165"/>
      <c r="L541" s="165"/>
      <c r="M541" s="165"/>
      <c r="N541" s="165"/>
      <c r="O541" s="165"/>
    </row>
    <row r="542">
      <c r="K542" s="165"/>
      <c r="L542" s="165"/>
      <c r="M542" s="165"/>
      <c r="N542" s="165"/>
      <c r="O542" s="165"/>
    </row>
    <row r="543">
      <c r="K543" s="165"/>
      <c r="L543" s="165"/>
      <c r="M543" s="165"/>
      <c r="N543" s="165"/>
      <c r="O543" s="165"/>
    </row>
    <row r="544">
      <c r="K544" s="165"/>
      <c r="L544" s="165"/>
      <c r="M544" s="165"/>
      <c r="N544" s="165"/>
      <c r="O544" s="165"/>
    </row>
    <row r="545">
      <c r="K545" s="165"/>
      <c r="L545" s="165"/>
      <c r="M545" s="165"/>
      <c r="N545" s="165"/>
      <c r="O545" s="165"/>
    </row>
    <row r="546">
      <c r="K546" s="165"/>
      <c r="L546" s="165"/>
      <c r="M546" s="165"/>
      <c r="N546" s="165"/>
      <c r="O546" s="165"/>
    </row>
    <row r="547">
      <c r="K547" s="165"/>
      <c r="L547" s="165"/>
      <c r="M547" s="165"/>
      <c r="N547" s="165"/>
      <c r="O547" s="165"/>
    </row>
    <row r="548">
      <c r="K548" s="165"/>
      <c r="L548" s="165"/>
      <c r="M548" s="165"/>
      <c r="N548" s="165"/>
      <c r="O548" s="165"/>
    </row>
    <row r="549">
      <c r="K549" s="165"/>
      <c r="L549" s="165"/>
      <c r="M549" s="165"/>
      <c r="N549" s="165"/>
      <c r="O549" s="165"/>
    </row>
    <row r="550">
      <c r="K550" s="165"/>
      <c r="L550" s="165"/>
      <c r="M550" s="165"/>
      <c r="N550" s="165"/>
      <c r="O550" s="165"/>
    </row>
    <row r="551">
      <c r="K551" s="165"/>
      <c r="L551" s="165"/>
      <c r="M551" s="165"/>
      <c r="N551" s="165"/>
      <c r="O551" s="165"/>
    </row>
    <row r="552">
      <c r="K552" s="165"/>
      <c r="L552" s="165"/>
      <c r="M552" s="165"/>
      <c r="N552" s="165"/>
      <c r="O552" s="165"/>
    </row>
    <row r="553">
      <c r="K553" s="165"/>
      <c r="L553" s="165"/>
      <c r="M553" s="165"/>
      <c r="N553" s="165"/>
      <c r="O553" s="165"/>
    </row>
    <row r="554">
      <c r="K554" s="165"/>
      <c r="L554" s="165"/>
      <c r="M554" s="165"/>
      <c r="N554" s="165"/>
      <c r="O554" s="165"/>
    </row>
    <row r="555">
      <c r="K555" s="165"/>
      <c r="L555" s="165"/>
      <c r="M555" s="165"/>
      <c r="N555" s="165"/>
      <c r="O555" s="165"/>
    </row>
    <row r="556">
      <c r="K556" s="165"/>
      <c r="L556" s="165"/>
      <c r="M556" s="165"/>
      <c r="N556" s="165"/>
      <c r="O556" s="165"/>
    </row>
    <row r="557">
      <c r="K557" s="165"/>
      <c r="L557" s="165"/>
      <c r="M557" s="165"/>
      <c r="N557" s="165"/>
      <c r="O557" s="165"/>
    </row>
    <row r="558">
      <c r="K558" s="165"/>
      <c r="L558" s="165"/>
      <c r="M558" s="165"/>
      <c r="N558" s="165"/>
      <c r="O558" s="165"/>
    </row>
    <row r="559">
      <c r="K559" s="165"/>
      <c r="L559" s="165"/>
      <c r="M559" s="165"/>
      <c r="N559" s="165"/>
      <c r="O559" s="165"/>
    </row>
    <row r="560">
      <c r="K560" s="165"/>
      <c r="L560" s="165"/>
      <c r="M560" s="165"/>
      <c r="N560" s="165"/>
      <c r="O560" s="165"/>
    </row>
    <row r="561">
      <c r="K561" s="165"/>
      <c r="L561" s="165"/>
      <c r="M561" s="165"/>
      <c r="N561" s="165"/>
      <c r="O561" s="165"/>
    </row>
    <row r="562">
      <c r="K562" s="165"/>
      <c r="L562" s="165"/>
      <c r="M562" s="165"/>
      <c r="N562" s="165"/>
      <c r="O562" s="165"/>
    </row>
    <row r="563">
      <c r="K563" s="165"/>
      <c r="L563" s="165"/>
      <c r="M563" s="165"/>
      <c r="N563" s="165"/>
      <c r="O563" s="165"/>
    </row>
    <row r="564">
      <c r="K564" s="165"/>
      <c r="L564" s="165"/>
      <c r="M564" s="165"/>
      <c r="N564" s="165"/>
      <c r="O564" s="165"/>
    </row>
    <row r="565">
      <c r="K565" s="165"/>
      <c r="L565" s="165"/>
      <c r="M565" s="165"/>
      <c r="N565" s="165"/>
      <c r="O565" s="165"/>
    </row>
    <row r="566">
      <c r="K566" s="165"/>
      <c r="L566" s="165"/>
      <c r="M566" s="165"/>
      <c r="N566" s="165"/>
      <c r="O566" s="165"/>
    </row>
    <row r="567">
      <c r="K567" s="165"/>
      <c r="L567" s="165"/>
      <c r="M567" s="165"/>
      <c r="N567" s="165"/>
      <c r="O567" s="165"/>
    </row>
    <row r="568">
      <c r="K568" s="165"/>
      <c r="L568" s="165"/>
      <c r="M568" s="165"/>
      <c r="N568" s="165"/>
      <c r="O568" s="165"/>
    </row>
    <row r="569">
      <c r="K569" s="165"/>
      <c r="L569" s="165"/>
      <c r="M569" s="165"/>
      <c r="N569" s="165"/>
      <c r="O569" s="165"/>
    </row>
    <row r="570">
      <c r="K570" s="165"/>
      <c r="L570" s="165"/>
      <c r="M570" s="165"/>
      <c r="N570" s="165"/>
      <c r="O570" s="165"/>
    </row>
    <row r="571">
      <c r="K571" s="165"/>
      <c r="L571" s="165"/>
      <c r="M571" s="165"/>
      <c r="N571" s="165"/>
      <c r="O571" s="165"/>
    </row>
    <row r="572">
      <c r="K572" s="165"/>
      <c r="L572" s="165"/>
      <c r="M572" s="165"/>
      <c r="N572" s="165"/>
      <c r="O572" s="165"/>
    </row>
    <row r="573">
      <c r="K573" s="165"/>
      <c r="L573" s="165"/>
      <c r="M573" s="165"/>
      <c r="N573" s="165"/>
      <c r="O573" s="165"/>
    </row>
    <row r="574">
      <c r="K574" s="165"/>
      <c r="L574" s="165"/>
      <c r="M574" s="165"/>
      <c r="N574" s="165"/>
      <c r="O574" s="165"/>
    </row>
    <row r="575">
      <c r="K575" s="165"/>
      <c r="L575" s="165"/>
      <c r="M575" s="165"/>
      <c r="N575" s="165"/>
      <c r="O575" s="165"/>
    </row>
    <row r="576">
      <c r="K576" s="165"/>
      <c r="L576" s="165"/>
      <c r="M576" s="165"/>
      <c r="N576" s="165"/>
      <c r="O576" s="165"/>
    </row>
    <row r="577">
      <c r="K577" s="165"/>
      <c r="L577" s="165"/>
      <c r="M577" s="165"/>
      <c r="N577" s="165"/>
      <c r="O577" s="165"/>
    </row>
    <row r="578">
      <c r="K578" s="165"/>
      <c r="L578" s="165"/>
      <c r="M578" s="165"/>
      <c r="N578" s="165"/>
      <c r="O578" s="165"/>
    </row>
    <row r="579">
      <c r="K579" s="165"/>
      <c r="L579" s="165"/>
      <c r="M579" s="165"/>
      <c r="N579" s="165"/>
      <c r="O579" s="165"/>
    </row>
    <row r="580">
      <c r="K580" s="165"/>
      <c r="L580" s="165"/>
      <c r="M580" s="165"/>
      <c r="N580" s="165"/>
      <c r="O580" s="165"/>
    </row>
    <row r="581">
      <c r="K581" s="165"/>
      <c r="L581" s="165"/>
      <c r="M581" s="165"/>
      <c r="N581" s="165"/>
      <c r="O581" s="165"/>
    </row>
    <row r="582">
      <c r="K582" s="165"/>
      <c r="L582" s="165"/>
      <c r="M582" s="165"/>
      <c r="N582" s="165"/>
      <c r="O582" s="165"/>
    </row>
    <row r="583">
      <c r="K583" s="165"/>
      <c r="L583" s="165"/>
      <c r="M583" s="165"/>
      <c r="N583" s="165"/>
      <c r="O583" s="165"/>
    </row>
    <row r="584">
      <c r="K584" s="165"/>
      <c r="L584" s="165"/>
      <c r="M584" s="165"/>
      <c r="N584" s="165"/>
      <c r="O584" s="165"/>
    </row>
    <row r="585">
      <c r="K585" s="165"/>
      <c r="L585" s="165"/>
      <c r="M585" s="165"/>
      <c r="N585" s="165"/>
      <c r="O585" s="165"/>
    </row>
    <row r="586">
      <c r="K586" s="165"/>
      <c r="L586" s="165"/>
      <c r="M586" s="165"/>
      <c r="N586" s="165"/>
      <c r="O586" s="165"/>
    </row>
    <row r="587">
      <c r="K587" s="165"/>
      <c r="L587" s="165"/>
      <c r="M587" s="165"/>
      <c r="N587" s="165"/>
      <c r="O587" s="165"/>
    </row>
    <row r="588">
      <c r="K588" s="165"/>
      <c r="L588" s="165"/>
      <c r="M588" s="165"/>
      <c r="N588" s="165"/>
      <c r="O588" s="165"/>
    </row>
    <row r="589">
      <c r="K589" s="165"/>
      <c r="L589" s="165"/>
      <c r="M589" s="165"/>
      <c r="N589" s="165"/>
      <c r="O589" s="165"/>
    </row>
    <row r="590">
      <c r="K590" s="165"/>
      <c r="L590" s="165"/>
      <c r="M590" s="165"/>
      <c r="N590" s="165"/>
      <c r="O590" s="165"/>
    </row>
    <row r="591">
      <c r="K591" s="165"/>
      <c r="L591" s="165"/>
      <c r="M591" s="165"/>
      <c r="N591" s="165"/>
      <c r="O591" s="165"/>
    </row>
    <row r="592">
      <c r="K592" s="165"/>
      <c r="L592" s="165"/>
      <c r="M592" s="165"/>
      <c r="N592" s="165"/>
      <c r="O592" s="165"/>
    </row>
    <row r="593">
      <c r="K593" s="165"/>
      <c r="L593" s="165"/>
      <c r="M593" s="165"/>
      <c r="N593" s="165"/>
      <c r="O593" s="165"/>
    </row>
    <row r="594">
      <c r="K594" s="165"/>
      <c r="L594" s="165"/>
      <c r="M594" s="165"/>
      <c r="N594" s="165"/>
      <c r="O594" s="165"/>
    </row>
    <row r="595">
      <c r="K595" s="165"/>
      <c r="L595" s="165"/>
      <c r="M595" s="165"/>
      <c r="N595" s="165"/>
      <c r="O595" s="165"/>
    </row>
    <row r="596">
      <c r="K596" s="165"/>
      <c r="L596" s="165"/>
      <c r="M596" s="165"/>
      <c r="N596" s="165"/>
      <c r="O596" s="165"/>
    </row>
    <row r="597">
      <c r="K597" s="165"/>
      <c r="L597" s="165"/>
      <c r="M597" s="165"/>
      <c r="N597" s="165"/>
      <c r="O597" s="165"/>
    </row>
    <row r="598">
      <c r="K598" s="165"/>
      <c r="L598" s="165"/>
      <c r="M598" s="165"/>
      <c r="N598" s="165"/>
      <c r="O598" s="165"/>
    </row>
    <row r="599">
      <c r="K599" s="165"/>
      <c r="L599" s="165"/>
      <c r="M599" s="165"/>
      <c r="N599" s="165"/>
      <c r="O599" s="165"/>
    </row>
    <row r="600">
      <c r="K600" s="165"/>
      <c r="L600" s="165"/>
      <c r="M600" s="165"/>
      <c r="N600" s="165"/>
      <c r="O600" s="165"/>
    </row>
    <row r="601">
      <c r="K601" s="165"/>
      <c r="L601" s="165"/>
      <c r="M601" s="165"/>
      <c r="N601" s="165"/>
      <c r="O601" s="165"/>
    </row>
    <row r="602">
      <c r="K602" s="165"/>
      <c r="L602" s="165"/>
      <c r="M602" s="165"/>
      <c r="N602" s="165"/>
      <c r="O602" s="165"/>
    </row>
    <row r="603">
      <c r="K603" s="165"/>
      <c r="L603" s="165"/>
      <c r="M603" s="165"/>
      <c r="N603" s="165"/>
      <c r="O603" s="165"/>
    </row>
    <row r="604">
      <c r="K604" s="165"/>
      <c r="L604" s="165"/>
      <c r="M604" s="165"/>
      <c r="N604" s="165"/>
      <c r="O604" s="165"/>
    </row>
    <row r="605">
      <c r="K605" s="165"/>
      <c r="L605" s="165"/>
      <c r="M605" s="165"/>
      <c r="N605" s="165"/>
      <c r="O605" s="165"/>
    </row>
    <row r="606">
      <c r="K606" s="165"/>
      <c r="L606" s="165"/>
      <c r="M606" s="165"/>
      <c r="N606" s="165"/>
      <c r="O606" s="165"/>
    </row>
    <row r="607">
      <c r="K607" s="165"/>
      <c r="L607" s="165"/>
      <c r="M607" s="165"/>
      <c r="N607" s="165"/>
      <c r="O607" s="165"/>
    </row>
    <row r="608">
      <c r="K608" s="165"/>
      <c r="L608" s="165"/>
      <c r="M608" s="165"/>
      <c r="N608" s="165"/>
      <c r="O608" s="165"/>
    </row>
    <row r="609">
      <c r="K609" s="165"/>
      <c r="L609" s="165"/>
      <c r="M609" s="165"/>
      <c r="N609" s="165"/>
      <c r="O609" s="165"/>
    </row>
    <row r="610">
      <c r="K610" s="165"/>
      <c r="L610" s="165"/>
      <c r="M610" s="165"/>
      <c r="N610" s="165"/>
      <c r="O610" s="165"/>
    </row>
    <row r="611">
      <c r="K611" s="165"/>
      <c r="L611" s="165"/>
      <c r="M611" s="165"/>
      <c r="N611" s="165"/>
      <c r="O611" s="165"/>
    </row>
    <row r="612">
      <c r="K612" s="165"/>
      <c r="L612" s="165"/>
      <c r="M612" s="165"/>
      <c r="N612" s="165"/>
      <c r="O612" s="165"/>
    </row>
    <row r="613">
      <c r="K613" s="165"/>
      <c r="L613" s="165"/>
      <c r="M613" s="165"/>
      <c r="N613" s="165"/>
      <c r="O613" s="165"/>
    </row>
    <row r="614">
      <c r="K614" s="165"/>
      <c r="L614" s="165"/>
      <c r="M614" s="165"/>
      <c r="N614" s="165"/>
      <c r="O614" s="165"/>
    </row>
    <row r="615">
      <c r="K615" s="165"/>
      <c r="L615" s="165"/>
      <c r="M615" s="165"/>
      <c r="N615" s="165"/>
      <c r="O615" s="165"/>
    </row>
    <row r="616">
      <c r="K616" s="165"/>
      <c r="L616" s="165"/>
      <c r="M616" s="165"/>
      <c r="N616" s="165"/>
      <c r="O616" s="165"/>
    </row>
    <row r="617">
      <c r="K617" s="165"/>
      <c r="L617" s="165"/>
      <c r="M617" s="165"/>
      <c r="N617" s="165"/>
      <c r="O617" s="165"/>
    </row>
    <row r="618">
      <c r="K618" s="165"/>
      <c r="L618" s="165"/>
      <c r="M618" s="165"/>
      <c r="N618" s="165"/>
      <c r="O618" s="165"/>
    </row>
    <row r="619">
      <c r="K619" s="165"/>
      <c r="L619" s="165"/>
      <c r="M619" s="165"/>
      <c r="N619" s="165"/>
      <c r="O619" s="165"/>
    </row>
    <row r="620">
      <c r="K620" s="165"/>
      <c r="L620" s="165"/>
      <c r="M620" s="165"/>
      <c r="N620" s="165"/>
      <c r="O620" s="165"/>
    </row>
    <row r="621">
      <c r="K621" s="165"/>
      <c r="L621" s="165"/>
      <c r="M621" s="165"/>
      <c r="N621" s="165"/>
      <c r="O621" s="165"/>
    </row>
    <row r="622">
      <c r="K622" s="165"/>
      <c r="L622" s="165"/>
      <c r="M622" s="165"/>
      <c r="N622" s="165"/>
      <c r="O622" s="165"/>
    </row>
    <row r="623">
      <c r="K623" s="165"/>
      <c r="L623" s="165"/>
      <c r="M623" s="165"/>
      <c r="N623" s="165"/>
      <c r="O623" s="165"/>
    </row>
    <row r="624">
      <c r="K624" s="165"/>
      <c r="L624" s="165"/>
      <c r="M624" s="165"/>
      <c r="N624" s="165"/>
      <c r="O624" s="165"/>
    </row>
    <row r="625">
      <c r="K625" s="165"/>
      <c r="L625" s="165"/>
      <c r="M625" s="165"/>
      <c r="N625" s="165"/>
      <c r="O625" s="165"/>
    </row>
    <row r="626">
      <c r="K626" s="165"/>
      <c r="L626" s="165"/>
      <c r="M626" s="165"/>
      <c r="N626" s="165"/>
      <c r="O626" s="165"/>
    </row>
    <row r="627">
      <c r="K627" s="165"/>
      <c r="L627" s="165"/>
      <c r="M627" s="165"/>
      <c r="N627" s="165"/>
      <c r="O627" s="165"/>
    </row>
    <row r="628">
      <c r="K628" s="165"/>
      <c r="L628" s="165"/>
      <c r="M628" s="165"/>
      <c r="N628" s="165"/>
      <c r="O628" s="165"/>
    </row>
    <row r="629">
      <c r="K629" s="165"/>
      <c r="L629" s="165"/>
      <c r="M629" s="165"/>
      <c r="N629" s="165"/>
      <c r="O629" s="165"/>
    </row>
    <row r="630">
      <c r="K630" s="165"/>
      <c r="L630" s="165"/>
      <c r="M630" s="165"/>
      <c r="N630" s="165"/>
      <c r="O630" s="165"/>
    </row>
    <row r="631">
      <c r="K631" s="165"/>
      <c r="L631" s="165"/>
      <c r="M631" s="165"/>
      <c r="N631" s="165"/>
      <c r="O631" s="165"/>
    </row>
    <row r="632">
      <c r="K632" s="165"/>
      <c r="L632" s="165"/>
      <c r="M632" s="165"/>
      <c r="N632" s="165"/>
      <c r="O632" s="165"/>
    </row>
    <row r="633">
      <c r="K633" s="165"/>
      <c r="L633" s="165"/>
      <c r="M633" s="165"/>
      <c r="N633" s="165"/>
      <c r="O633" s="165"/>
    </row>
    <row r="634">
      <c r="K634" s="165"/>
      <c r="L634" s="165"/>
      <c r="M634" s="165"/>
      <c r="N634" s="165"/>
      <c r="O634" s="165"/>
    </row>
    <row r="635">
      <c r="K635" s="165"/>
      <c r="L635" s="165"/>
      <c r="M635" s="165"/>
      <c r="N635" s="165"/>
      <c r="O635" s="165"/>
    </row>
    <row r="636">
      <c r="K636" s="165"/>
      <c r="L636" s="165"/>
      <c r="M636" s="165"/>
      <c r="N636" s="165"/>
      <c r="O636" s="165"/>
    </row>
    <row r="637">
      <c r="K637" s="165"/>
      <c r="L637" s="165"/>
      <c r="M637" s="165"/>
      <c r="N637" s="165"/>
      <c r="O637" s="165"/>
    </row>
    <row r="638">
      <c r="K638" s="165"/>
      <c r="L638" s="165"/>
      <c r="M638" s="165"/>
      <c r="N638" s="165"/>
      <c r="O638" s="165"/>
    </row>
    <row r="639">
      <c r="K639" s="165"/>
      <c r="L639" s="165"/>
      <c r="M639" s="165"/>
      <c r="N639" s="165"/>
      <c r="O639" s="165"/>
    </row>
    <row r="640">
      <c r="K640" s="165"/>
      <c r="L640" s="165"/>
      <c r="M640" s="165"/>
      <c r="N640" s="165"/>
      <c r="O640" s="165"/>
    </row>
    <row r="641">
      <c r="K641" s="165"/>
      <c r="L641" s="165"/>
      <c r="M641" s="165"/>
      <c r="N641" s="165"/>
      <c r="O641" s="165"/>
    </row>
    <row r="642">
      <c r="K642" s="165"/>
      <c r="L642" s="165"/>
      <c r="M642" s="165"/>
      <c r="N642" s="165"/>
      <c r="O642" s="165"/>
    </row>
    <row r="643">
      <c r="K643" s="165"/>
      <c r="L643" s="165"/>
      <c r="M643" s="165"/>
      <c r="N643" s="165"/>
      <c r="O643" s="165"/>
    </row>
    <row r="644">
      <c r="K644" s="165"/>
      <c r="L644" s="165"/>
      <c r="M644" s="165"/>
      <c r="N644" s="165"/>
      <c r="O644" s="165"/>
    </row>
    <row r="645">
      <c r="K645" s="165"/>
      <c r="L645" s="165"/>
      <c r="M645" s="165"/>
      <c r="N645" s="165"/>
      <c r="O645" s="165"/>
    </row>
    <row r="646">
      <c r="K646" s="165"/>
      <c r="L646" s="165"/>
      <c r="M646" s="165"/>
      <c r="N646" s="165"/>
      <c r="O646" s="165"/>
    </row>
    <row r="647">
      <c r="K647" s="165"/>
      <c r="L647" s="165"/>
      <c r="M647" s="165"/>
      <c r="N647" s="165"/>
      <c r="O647" s="165"/>
    </row>
    <row r="648">
      <c r="K648" s="165"/>
      <c r="L648" s="165"/>
      <c r="M648" s="165"/>
      <c r="N648" s="165"/>
      <c r="O648" s="165"/>
    </row>
    <row r="649">
      <c r="K649" s="165"/>
      <c r="L649" s="165"/>
      <c r="M649" s="165"/>
      <c r="N649" s="165"/>
      <c r="O649" s="165"/>
    </row>
    <row r="650">
      <c r="K650" s="165"/>
      <c r="L650" s="165"/>
      <c r="M650" s="165"/>
      <c r="N650" s="165"/>
      <c r="O650" s="165"/>
    </row>
    <row r="651">
      <c r="K651" s="165"/>
      <c r="L651" s="165"/>
      <c r="M651" s="165"/>
      <c r="N651" s="165"/>
      <c r="O651" s="165"/>
    </row>
    <row r="652">
      <c r="K652" s="165"/>
      <c r="L652" s="165"/>
      <c r="M652" s="165"/>
      <c r="N652" s="165"/>
      <c r="O652" s="165"/>
    </row>
    <row r="653">
      <c r="K653" s="165"/>
      <c r="L653" s="165"/>
      <c r="M653" s="165"/>
      <c r="N653" s="165"/>
      <c r="O653" s="165"/>
    </row>
    <row r="654">
      <c r="K654" s="165"/>
      <c r="L654" s="165"/>
      <c r="M654" s="165"/>
      <c r="N654" s="165"/>
      <c r="O654" s="165"/>
    </row>
    <row r="655">
      <c r="K655" s="165"/>
      <c r="L655" s="165"/>
      <c r="M655" s="165"/>
      <c r="N655" s="165"/>
      <c r="O655" s="165"/>
    </row>
    <row r="656">
      <c r="K656" s="165"/>
      <c r="L656" s="165"/>
      <c r="M656" s="165"/>
      <c r="N656" s="165"/>
      <c r="O656" s="165"/>
    </row>
    <row r="657">
      <c r="K657" s="165"/>
      <c r="L657" s="165"/>
      <c r="M657" s="165"/>
      <c r="N657" s="165"/>
      <c r="O657" s="165"/>
    </row>
    <row r="658">
      <c r="K658" s="165"/>
      <c r="L658" s="165"/>
      <c r="M658" s="165"/>
      <c r="N658" s="165"/>
      <c r="O658" s="165"/>
    </row>
    <row r="659">
      <c r="K659" s="165"/>
      <c r="L659" s="165"/>
      <c r="M659" s="165"/>
      <c r="N659" s="165"/>
      <c r="O659" s="165"/>
    </row>
    <row r="660">
      <c r="K660" s="165"/>
      <c r="L660" s="165"/>
      <c r="M660" s="165"/>
      <c r="N660" s="165"/>
      <c r="O660" s="165"/>
    </row>
    <row r="661">
      <c r="K661" s="165"/>
      <c r="L661" s="165"/>
      <c r="M661" s="165"/>
      <c r="N661" s="165"/>
      <c r="O661" s="165"/>
    </row>
    <row r="662">
      <c r="K662" s="165"/>
      <c r="L662" s="165"/>
      <c r="M662" s="165"/>
      <c r="N662" s="165"/>
      <c r="O662" s="165"/>
    </row>
    <row r="663">
      <c r="K663" s="165"/>
      <c r="L663" s="165"/>
      <c r="M663" s="165"/>
      <c r="N663" s="165"/>
      <c r="O663" s="165"/>
    </row>
    <row r="664">
      <c r="K664" s="165"/>
      <c r="L664" s="165"/>
      <c r="M664" s="165"/>
      <c r="N664" s="165"/>
      <c r="O664" s="165"/>
    </row>
    <row r="665">
      <c r="K665" s="165"/>
      <c r="L665" s="165"/>
      <c r="M665" s="165"/>
      <c r="N665" s="165"/>
      <c r="O665" s="165"/>
    </row>
    <row r="666">
      <c r="K666" s="165"/>
      <c r="L666" s="165"/>
      <c r="M666" s="165"/>
      <c r="N666" s="165"/>
      <c r="O666" s="165"/>
    </row>
    <row r="667">
      <c r="K667" s="165"/>
      <c r="L667" s="165"/>
      <c r="M667" s="165"/>
      <c r="N667" s="165"/>
      <c r="O667" s="165"/>
    </row>
    <row r="668">
      <c r="K668" s="165"/>
      <c r="L668" s="165"/>
      <c r="M668" s="165"/>
      <c r="N668" s="165"/>
      <c r="O668" s="165"/>
    </row>
    <row r="669">
      <c r="K669" s="165"/>
      <c r="L669" s="165"/>
      <c r="M669" s="165"/>
      <c r="N669" s="165"/>
      <c r="O669" s="165"/>
    </row>
    <row r="670">
      <c r="K670" s="165"/>
      <c r="L670" s="165"/>
      <c r="M670" s="165"/>
      <c r="N670" s="165"/>
      <c r="O670" s="165"/>
    </row>
    <row r="671">
      <c r="K671" s="165"/>
      <c r="L671" s="165"/>
      <c r="M671" s="165"/>
      <c r="N671" s="165"/>
      <c r="O671" s="165"/>
    </row>
    <row r="672">
      <c r="K672" s="165"/>
      <c r="L672" s="165"/>
      <c r="M672" s="165"/>
      <c r="N672" s="165"/>
      <c r="O672" s="165"/>
    </row>
    <row r="673">
      <c r="K673" s="165"/>
      <c r="L673" s="165"/>
      <c r="M673" s="165"/>
      <c r="N673" s="165"/>
      <c r="O673" s="165"/>
    </row>
    <row r="674">
      <c r="K674" s="165"/>
      <c r="L674" s="165"/>
      <c r="M674" s="165"/>
      <c r="N674" s="165"/>
      <c r="O674" s="165"/>
    </row>
    <row r="675">
      <c r="K675" s="165"/>
      <c r="L675" s="165"/>
      <c r="M675" s="165"/>
      <c r="N675" s="165"/>
      <c r="O675" s="165"/>
    </row>
    <row r="676">
      <c r="K676" s="165"/>
      <c r="L676" s="165"/>
      <c r="M676" s="165"/>
      <c r="N676" s="165"/>
      <c r="O676" s="165"/>
    </row>
    <row r="677">
      <c r="K677" s="165"/>
      <c r="L677" s="165"/>
      <c r="M677" s="165"/>
      <c r="N677" s="165"/>
      <c r="O677" s="165"/>
    </row>
    <row r="678">
      <c r="K678" s="165"/>
      <c r="L678" s="165"/>
      <c r="M678" s="165"/>
      <c r="N678" s="165"/>
      <c r="O678" s="165"/>
    </row>
    <row r="679">
      <c r="K679" s="165"/>
      <c r="L679" s="165"/>
      <c r="M679" s="165"/>
      <c r="N679" s="165"/>
      <c r="O679" s="165"/>
    </row>
    <row r="680">
      <c r="K680" s="165"/>
      <c r="L680" s="165"/>
      <c r="M680" s="165"/>
      <c r="N680" s="165"/>
      <c r="O680" s="165"/>
    </row>
    <row r="681">
      <c r="K681" s="165"/>
      <c r="L681" s="165"/>
      <c r="M681" s="165"/>
      <c r="N681" s="165"/>
      <c r="O681" s="165"/>
    </row>
    <row r="682">
      <c r="K682" s="165"/>
      <c r="L682" s="165"/>
      <c r="M682" s="165"/>
      <c r="N682" s="165"/>
      <c r="O682" s="165"/>
    </row>
    <row r="683">
      <c r="K683" s="165"/>
      <c r="L683" s="165"/>
      <c r="M683" s="165"/>
      <c r="N683" s="165"/>
      <c r="O683" s="165"/>
    </row>
    <row r="684">
      <c r="K684" s="165"/>
      <c r="L684" s="165"/>
      <c r="M684" s="165"/>
      <c r="N684" s="165"/>
      <c r="O684" s="165"/>
    </row>
    <row r="685">
      <c r="K685" s="165"/>
      <c r="L685" s="165"/>
      <c r="M685" s="165"/>
      <c r="N685" s="165"/>
      <c r="O685" s="165"/>
    </row>
    <row r="686">
      <c r="K686" s="165"/>
      <c r="L686" s="165"/>
      <c r="M686" s="165"/>
      <c r="N686" s="165"/>
      <c r="O686" s="165"/>
    </row>
    <row r="687">
      <c r="K687" s="165"/>
      <c r="L687" s="165"/>
      <c r="M687" s="165"/>
      <c r="N687" s="165"/>
      <c r="O687" s="165"/>
    </row>
    <row r="688">
      <c r="K688" s="165"/>
      <c r="L688" s="165"/>
      <c r="M688" s="165"/>
      <c r="N688" s="165"/>
      <c r="O688" s="165"/>
    </row>
    <row r="689">
      <c r="K689" s="165"/>
      <c r="L689" s="165"/>
      <c r="M689" s="165"/>
      <c r="N689" s="165"/>
      <c r="O689" s="165"/>
    </row>
    <row r="690">
      <c r="K690" s="165"/>
      <c r="L690" s="165"/>
      <c r="M690" s="165"/>
      <c r="N690" s="165"/>
      <c r="O690" s="165"/>
    </row>
    <row r="691">
      <c r="K691" s="165"/>
      <c r="L691" s="165"/>
      <c r="M691" s="165"/>
      <c r="N691" s="165"/>
      <c r="O691" s="165"/>
    </row>
    <row r="692">
      <c r="K692" s="165"/>
      <c r="L692" s="165"/>
      <c r="M692" s="165"/>
      <c r="N692" s="165"/>
      <c r="O692" s="165"/>
    </row>
    <row r="693">
      <c r="K693" s="165"/>
      <c r="L693" s="165"/>
      <c r="M693" s="165"/>
      <c r="N693" s="165"/>
      <c r="O693" s="165"/>
    </row>
    <row r="694">
      <c r="K694" s="165"/>
      <c r="L694" s="165"/>
      <c r="M694" s="165"/>
      <c r="N694" s="165"/>
      <c r="O694" s="165"/>
    </row>
    <row r="695">
      <c r="K695" s="165"/>
      <c r="L695" s="165"/>
      <c r="M695" s="165"/>
      <c r="N695" s="165"/>
      <c r="O695" s="165"/>
    </row>
    <row r="696">
      <c r="K696" s="165"/>
      <c r="L696" s="165"/>
      <c r="M696" s="165"/>
      <c r="N696" s="165"/>
      <c r="O696" s="165"/>
    </row>
    <row r="697">
      <c r="K697" s="165"/>
      <c r="L697" s="165"/>
      <c r="M697" s="165"/>
      <c r="N697" s="165"/>
      <c r="O697" s="165"/>
    </row>
    <row r="698">
      <c r="K698" s="165"/>
      <c r="L698" s="165"/>
      <c r="M698" s="165"/>
      <c r="N698" s="165"/>
      <c r="O698" s="165"/>
    </row>
    <row r="699">
      <c r="K699" s="165"/>
      <c r="L699" s="165"/>
      <c r="M699" s="165"/>
      <c r="N699" s="165"/>
      <c r="O699" s="165"/>
    </row>
    <row r="700">
      <c r="K700" s="165"/>
      <c r="L700" s="165"/>
      <c r="M700" s="165"/>
      <c r="N700" s="165"/>
      <c r="O700" s="165"/>
    </row>
    <row r="701">
      <c r="K701" s="165"/>
      <c r="L701" s="165"/>
      <c r="M701" s="165"/>
      <c r="N701" s="165"/>
      <c r="O701" s="165"/>
    </row>
    <row r="702">
      <c r="K702" s="165"/>
      <c r="L702" s="165"/>
      <c r="M702" s="165"/>
      <c r="N702" s="165"/>
      <c r="O702" s="165"/>
    </row>
    <row r="703">
      <c r="K703" s="165"/>
      <c r="L703" s="165"/>
      <c r="M703" s="165"/>
      <c r="N703" s="165"/>
      <c r="O703" s="165"/>
    </row>
    <row r="704">
      <c r="K704" s="165"/>
      <c r="L704" s="165"/>
      <c r="M704" s="165"/>
      <c r="N704" s="165"/>
      <c r="O704" s="165"/>
    </row>
    <row r="705">
      <c r="K705" s="165"/>
      <c r="L705" s="165"/>
      <c r="M705" s="165"/>
      <c r="N705" s="165"/>
      <c r="O705" s="165"/>
    </row>
    <row r="706">
      <c r="K706" s="165"/>
      <c r="L706" s="165"/>
      <c r="M706" s="165"/>
      <c r="N706" s="165"/>
      <c r="O706" s="165"/>
    </row>
    <row r="707">
      <c r="K707" s="165"/>
      <c r="L707" s="165"/>
      <c r="M707" s="165"/>
      <c r="N707" s="165"/>
      <c r="O707" s="165"/>
    </row>
    <row r="708">
      <c r="K708" s="165"/>
      <c r="L708" s="165"/>
      <c r="M708" s="165"/>
      <c r="N708" s="165"/>
      <c r="O708" s="165"/>
    </row>
    <row r="709">
      <c r="K709" s="165"/>
      <c r="L709" s="165"/>
      <c r="M709" s="165"/>
      <c r="N709" s="165"/>
      <c r="O709" s="165"/>
    </row>
    <row r="710">
      <c r="K710" s="165"/>
      <c r="L710" s="165"/>
      <c r="M710" s="165"/>
      <c r="N710" s="165"/>
      <c r="O710" s="165"/>
    </row>
    <row r="711">
      <c r="K711" s="165"/>
      <c r="L711" s="165"/>
      <c r="M711" s="165"/>
      <c r="N711" s="165"/>
      <c r="O711" s="165"/>
    </row>
    <row r="712">
      <c r="K712" s="165"/>
      <c r="L712" s="165"/>
      <c r="M712" s="165"/>
      <c r="N712" s="165"/>
      <c r="O712" s="165"/>
    </row>
    <row r="713">
      <c r="K713" s="165"/>
      <c r="L713" s="165"/>
      <c r="M713" s="165"/>
      <c r="N713" s="165"/>
      <c r="O713" s="165"/>
    </row>
    <row r="714">
      <c r="K714" s="165"/>
      <c r="L714" s="165"/>
      <c r="M714" s="165"/>
      <c r="N714" s="165"/>
      <c r="O714" s="165"/>
    </row>
    <row r="715">
      <c r="K715" s="165"/>
      <c r="L715" s="165"/>
      <c r="M715" s="165"/>
      <c r="N715" s="165"/>
      <c r="O715" s="165"/>
    </row>
    <row r="716">
      <c r="K716" s="165"/>
      <c r="L716" s="165"/>
      <c r="M716" s="165"/>
      <c r="N716" s="165"/>
      <c r="O716" s="165"/>
    </row>
    <row r="717">
      <c r="K717" s="165"/>
      <c r="L717" s="165"/>
      <c r="M717" s="165"/>
      <c r="N717" s="165"/>
      <c r="O717" s="165"/>
    </row>
    <row r="718">
      <c r="K718" s="165"/>
      <c r="L718" s="165"/>
      <c r="M718" s="165"/>
      <c r="N718" s="165"/>
      <c r="O718" s="165"/>
    </row>
    <row r="719">
      <c r="K719" s="165"/>
      <c r="L719" s="165"/>
      <c r="M719" s="165"/>
      <c r="N719" s="165"/>
      <c r="O719" s="165"/>
    </row>
    <row r="720">
      <c r="K720" s="165"/>
      <c r="L720" s="165"/>
      <c r="M720" s="165"/>
      <c r="N720" s="165"/>
      <c r="O720" s="165"/>
    </row>
    <row r="721">
      <c r="K721" s="165"/>
      <c r="L721" s="165"/>
      <c r="M721" s="165"/>
      <c r="N721" s="165"/>
      <c r="O721" s="165"/>
    </row>
    <row r="722">
      <c r="K722" s="165"/>
      <c r="L722" s="165"/>
      <c r="M722" s="165"/>
      <c r="N722" s="165"/>
      <c r="O722" s="165"/>
    </row>
    <row r="723">
      <c r="K723" s="165"/>
      <c r="L723" s="165"/>
      <c r="M723" s="165"/>
      <c r="N723" s="165"/>
      <c r="O723" s="165"/>
    </row>
    <row r="724">
      <c r="K724" s="165"/>
      <c r="L724" s="165"/>
      <c r="M724" s="165"/>
      <c r="N724" s="165"/>
      <c r="O724" s="165"/>
    </row>
    <row r="725">
      <c r="K725" s="165"/>
      <c r="L725" s="165"/>
      <c r="M725" s="165"/>
      <c r="N725" s="165"/>
      <c r="O725" s="165"/>
    </row>
    <row r="726">
      <c r="K726" s="165"/>
      <c r="L726" s="165"/>
      <c r="M726" s="165"/>
      <c r="N726" s="165"/>
      <c r="O726" s="165"/>
    </row>
    <row r="727">
      <c r="K727" s="165"/>
      <c r="L727" s="165"/>
      <c r="M727" s="165"/>
      <c r="N727" s="165"/>
      <c r="O727" s="165"/>
    </row>
    <row r="728">
      <c r="K728" s="165"/>
      <c r="L728" s="165"/>
      <c r="M728" s="165"/>
      <c r="N728" s="165"/>
      <c r="O728" s="165"/>
    </row>
    <row r="729">
      <c r="K729" s="165"/>
      <c r="L729" s="165"/>
      <c r="M729" s="165"/>
      <c r="N729" s="165"/>
      <c r="O729" s="165"/>
    </row>
    <row r="730">
      <c r="K730" s="165"/>
      <c r="L730" s="165"/>
      <c r="M730" s="165"/>
      <c r="N730" s="165"/>
      <c r="O730" s="165"/>
    </row>
    <row r="731">
      <c r="K731" s="165"/>
      <c r="L731" s="165"/>
      <c r="M731" s="165"/>
      <c r="N731" s="165"/>
      <c r="O731" s="165"/>
    </row>
    <row r="732">
      <c r="K732" s="165"/>
      <c r="L732" s="165"/>
      <c r="M732" s="165"/>
      <c r="N732" s="165"/>
      <c r="O732" s="165"/>
    </row>
    <row r="733">
      <c r="K733" s="165"/>
      <c r="L733" s="165"/>
      <c r="M733" s="165"/>
      <c r="N733" s="165"/>
      <c r="O733" s="165"/>
    </row>
    <row r="734">
      <c r="K734" s="165"/>
      <c r="L734" s="165"/>
      <c r="M734" s="165"/>
      <c r="N734" s="165"/>
      <c r="O734" s="165"/>
    </row>
    <row r="735">
      <c r="K735" s="165"/>
      <c r="L735" s="165"/>
      <c r="M735" s="165"/>
      <c r="N735" s="165"/>
      <c r="O735" s="165"/>
    </row>
    <row r="736">
      <c r="K736" s="165"/>
      <c r="L736" s="165"/>
      <c r="M736" s="165"/>
      <c r="N736" s="165"/>
      <c r="O736" s="165"/>
    </row>
    <row r="737">
      <c r="K737" s="165"/>
      <c r="L737" s="165"/>
      <c r="M737" s="165"/>
      <c r="N737" s="165"/>
      <c r="O737" s="165"/>
    </row>
    <row r="738">
      <c r="K738" s="165"/>
      <c r="L738" s="165"/>
      <c r="M738" s="165"/>
      <c r="N738" s="165"/>
      <c r="O738" s="165"/>
    </row>
    <row r="739">
      <c r="K739" s="165"/>
      <c r="L739" s="165"/>
      <c r="M739" s="165"/>
      <c r="N739" s="165"/>
      <c r="O739" s="165"/>
    </row>
    <row r="740">
      <c r="K740" s="165"/>
      <c r="L740" s="165"/>
      <c r="M740" s="165"/>
      <c r="N740" s="165"/>
      <c r="O740" s="165"/>
    </row>
    <row r="741">
      <c r="K741" s="165"/>
      <c r="L741" s="165"/>
      <c r="M741" s="165"/>
      <c r="N741" s="165"/>
      <c r="O741" s="165"/>
    </row>
    <row r="742">
      <c r="K742" s="165"/>
      <c r="L742" s="165"/>
      <c r="M742" s="165"/>
      <c r="N742" s="165"/>
      <c r="O742" s="165"/>
    </row>
    <row r="743">
      <c r="K743" s="165"/>
      <c r="L743" s="165"/>
      <c r="M743" s="165"/>
      <c r="N743" s="165"/>
      <c r="O743" s="165"/>
    </row>
    <row r="744">
      <c r="K744" s="165"/>
      <c r="L744" s="165"/>
      <c r="M744" s="165"/>
      <c r="N744" s="165"/>
      <c r="O744" s="165"/>
    </row>
    <row r="745">
      <c r="K745" s="165"/>
      <c r="L745" s="165"/>
      <c r="M745" s="165"/>
      <c r="N745" s="165"/>
      <c r="O745" s="165"/>
    </row>
    <row r="746">
      <c r="K746" s="165"/>
      <c r="L746" s="165"/>
      <c r="M746" s="165"/>
      <c r="N746" s="165"/>
      <c r="O746" s="165"/>
    </row>
    <row r="747">
      <c r="K747" s="165"/>
      <c r="L747" s="165"/>
      <c r="M747" s="165"/>
      <c r="N747" s="165"/>
      <c r="O747" s="165"/>
    </row>
    <row r="748">
      <c r="K748" s="165"/>
      <c r="L748" s="165"/>
      <c r="M748" s="165"/>
      <c r="N748" s="165"/>
      <c r="O748" s="165"/>
    </row>
    <row r="749">
      <c r="K749" s="165"/>
      <c r="L749" s="165"/>
      <c r="M749" s="165"/>
      <c r="N749" s="165"/>
      <c r="O749" s="165"/>
    </row>
    <row r="750">
      <c r="K750" s="165"/>
      <c r="L750" s="165"/>
      <c r="M750" s="165"/>
      <c r="N750" s="165"/>
      <c r="O750" s="165"/>
    </row>
    <row r="751">
      <c r="K751" s="165"/>
      <c r="L751" s="165"/>
      <c r="M751" s="165"/>
      <c r="N751" s="165"/>
      <c r="O751" s="165"/>
    </row>
    <row r="752">
      <c r="K752" s="165"/>
      <c r="L752" s="165"/>
      <c r="M752" s="165"/>
      <c r="N752" s="165"/>
      <c r="O752" s="165"/>
    </row>
    <row r="753">
      <c r="K753" s="165"/>
      <c r="L753" s="165"/>
      <c r="M753" s="165"/>
      <c r="N753" s="165"/>
      <c r="O753" s="165"/>
    </row>
    <row r="754">
      <c r="K754" s="165"/>
      <c r="L754" s="165"/>
      <c r="M754" s="165"/>
      <c r="N754" s="165"/>
      <c r="O754" s="165"/>
    </row>
    <row r="755">
      <c r="K755" s="165"/>
      <c r="L755" s="165"/>
      <c r="M755" s="165"/>
      <c r="N755" s="165"/>
      <c r="O755" s="165"/>
    </row>
    <row r="756">
      <c r="K756" s="165"/>
      <c r="L756" s="165"/>
      <c r="M756" s="165"/>
      <c r="N756" s="165"/>
      <c r="O756" s="165"/>
    </row>
    <row r="757">
      <c r="K757" s="165"/>
      <c r="L757" s="165"/>
      <c r="M757" s="165"/>
      <c r="N757" s="165"/>
      <c r="O757" s="165"/>
    </row>
    <row r="758">
      <c r="K758" s="165"/>
      <c r="L758" s="165"/>
      <c r="M758" s="165"/>
      <c r="N758" s="165"/>
      <c r="O758" s="165"/>
    </row>
    <row r="759">
      <c r="K759" s="165"/>
      <c r="L759" s="165"/>
      <c r="M759" s="165"/>
      <c r="N759" s="165"/>
      <c r="O759" s="165"/>
    </row>
    <row r="760">
      <c r="K760" s="165"/>
      <c r="L760" s="165"/>
      <c r="M760" s="165"/>
      <c r="N760" s="165"/>
      <c r="O760" s="165"/>
    </row>
    <row r="761">
      <c r="K761" s="165"/>
      <c r="L761" s="165"/>
      <c r="M761" s="165"/>
      <c r="N761" s="165"/>
      <c r="O761" s="165"/>
    </row>
    <row r="762">
      <c r="K762" s="165"/>
      <c r="L762" s="165"/>
      <c r="M762" s="165"/>
      <c r="N762" s="165"/>
      <c r="O762" s="165"/>
    </row>
    <row r="763">
      <c r="K763" s="165"/>
      <c r="L763" s="165"/>
      <c r="M763" s="165"/>
      <c r="N763" s="165"/>
      <c r="O763" s="165"/>
    </row>
    <row r="764">
      <c r="K764" s="165"/>
      <c r="L764" s="165"/>
      <c r="M764" s="165"/>
      <c r="N764" s="165"/>
      <c r="O764" s="165"/>
    </row>
    <row r="765">
      <c r="K765" s="165"/>
      <c r="L765" s="165"/>
      <c r="M765" s="165"/>
      <c r="N765" s="165"/>
      <c r="O765" s="165"/>
    </row>
    <row r="766">
      <c r="K766" s="165"/>
      <c r="L766" s="165"/>
      <c r="M766" s="165"/>
      <c r="N766" s="165"/>
      <c r="O766" s="165"/>
    </row>
    <row r="767">
      <c r="K767" s="165"/>
      <c r="L767" s="165"/>
      <c r="M767" s="165"/>
      <c r="N767" s="165"/>
      <c r="O767" s="165"/>
    </row>
    <row r="768">
      <c r="K768" s="165"/>
      <c r="L768" s="165"/>
      <c r="M768" s="165"/>
      <c r="N768" s="165"/>
      <c r="O768" s="165"/>
    </row>
    <row r="769">
      <c r="K769" s="165"/>
      <c r="L769" s="165"/>
      <c r="M769" s="165"/>
      <c r="N769" s="165"/>
      <c r="O769" s="165"/>
    </row>
    <row r="770">
      <c r="K770" s="165"/>
      <c r="L770" s="165"/>
      <c r="M770" s="165"/>
      <c r="N770" s="165"/>
      <c r="O770" s="165"/>
    </row>
    <row r="771">
      <c r="K771" s="165"/>
      <c r="L771" s="165"/>
      <c r="M771" s="165"/>
      <c r="N771" s="165"/>
      <c r="O771" s="165"/>
    </row>
    <row r="772">
      <c r="K772" s="165"/>
      <c r="L772" s="165"/>
      <c r="M772" s="165"/>
      <c r="N772" s="165"/>
      <c r="O772" s="165"/>
    </row>
    <row r="773">
      <c r="K773" s="165"/>
      <c r="L773" s="165"/>
      <c r="M773" s="165"/>
      <c r="N773" s="165"/>
      <c r="O773" s="165"/>
    </row>
    <row r="774">
      <c r="K774" s="165"/>
      <c r="L774" s="165"/>
      <c r="M774" s="165"/>
      <c r="N774" s="165"/>
      <c r="O774" s="165"/>
    </row>
    <row r="775">
      <c r="K775" s="165"/>
      <c r="L775" s="165"/>
      <c r="M775" s="165"/>
      <c r="N775" s="165"/>
      <c r="O775" s="165"/>
    </row>
    <row r="776">
      <c r="K776" s="165"/>
      <c r="L776" s="165"/>
      <c r="M776" s="165"/>
      <c r="N776" s="165"/>
      <c r="O776" s="165"/>
    </row>
    <row r="777">
      <c r="K777" s="165"/>
      <c r="L777" s="165"/>
      <c r="M777" s="165"/>
      <c r="N777" s="165"/>
      <c r="O777" s="165"/>
    </row>
    <row r="778">
      <c r="K778" s="165"/>
      <c r="L778" s="165"/>
      <c r="M778" s="165"/>
      <c r="N778" s="165"/>
      <c r="O778" s="165"/>
    </row>
    <row r="779">
      <c r="K779" s="165"/>
      <c r="L779" s="165"/>
      <c r="M779" s="165"/>
      <c r="N779" s="165"/>
      <c r="O779" s="165"/>
    </row>
    <row r="780">
      <c r="K780" s="165"/>
      <c r="L780" s="165"/>
      <c r="M780" s="165"/>
      <c r="N780" s="165"/>
      <c r="O780" s="165"/>
    </row>
    <row r="781">
      <c r="K781" s="165"/>
      <c r="L781" s="165"/>
      <c r="M781" s="165"/>
      <c r="N781" s="165"/>
      <c r="O781" s="165"/>
    </row>
    <row r="782">
      <c r="K782" s="165"/>
      <c r="L782" s="165"/>
      <c r="M782" s="165"/>
      <c r="N782" s="165"/>
      <c r="O782" s="165"/>
    </row>
    <row r="783">
      <c r="K783" s="165"/>
      <c r="L783" s="165"/>
      <c r="M783" s="165"/>
      <c r="N783" s="165"/>
      <c r="O783" s="165"/>
    </row>
    <row r="784">
      <c r="K784" s="165"/>
      <c r="L784" s="165"/>
      <c r="M784" s="165"/>
      <c r="N784" s="165"/>
      <c r="O784" s="165"/>
    </row>
    <row r="785">
      <c r="K785" s="165"/>
      <c r="L785" s="165"/>
      <c r="M785" s="165"/>
      <c r="N785" s="165"/>
      <c r="O785" s="165"/>
    </row>
    <row r="786">
      <c r="K786" s="165"/>
      <c r="L786" s="165"/>
      <c r="M786" s="165"/>
      <c r="N786" s="165"/>
      <c r="O786" s="165"/>
    </row>
    <row r="787">
      <c r="K787" s="165"/>
      <c r="L787" s="165"/>
      <c r="M787" s="165"/>
      <c r="N787" s="165"/>
      <c r="O787" s="165"/>
    </row>
    <row r="788">
      <c r="K788" s="165"/>
      <c r="L788" s="165"/>
      <c r="M788" s="165"/>
      <c r="N788" s="165"/>
      <c r="O788" s="165"/>
    </row>
    <row r="789">
      <c r="K789" s="165"/>
      <c r="L789" s="165"/>
      <c r="M789" s="165"/>
      <c r="N789" s="165"/>
      <c r="O789" s="165"/>
    </row>
    <row r="790">
      <c r="K790" s="165"/>
      <c r="L790" s="165"/>
      <c r="M790" s="165"/>
      <c r="N790" s="165"/>
      <c r="O790" s="165"/>
    </row>
    <row r="791">
      <c r="K791" s="165"/>
      <c r="L791" s="165"/>
      <c r="M791" s="165"/>
      <c r="N791" s="165"/>
      <c r="O791" s="165"/>
    </row>
    <row r="792">
      <c r="K792" s="165"/>
      <c r="L792" s="165"/>
      <c r="M792" s="165"/>
      <c r="N792" s="165"/>
      <c r="O792" s="165"/>
    </row>
    <row r="793">
      <c r="K793" s="165"/>
      <c r="L793" s="165"/>
      <c r="M793" s="165"/>
      <c r="N793" s="165"/>
      <c r="O793" s="165"/>
    </row>
    <row r="794">
      <c r="K794" s="165"/>
      <c r="L794" s="165"/>
      <c r="M794" s="165"/>
      <c r="N794" s="165"/>
      <c r="O794" s="165"/>
    </row>
    <row r="795">
      <c r="K795" s="165"/>
      <c r="L795" s="165"/>
      <c r="M795" s="165"/>
      <c r="N795" s="165"/>
      <c r="O795" s="165"/>
    </row>
    <row r="796">
      <c r="K796" s="165"/>
      <c r="L796" s="165"/>
      <c r="M796" s="165"/>
      <c r="N796" s="165"/>
      <c r="O796" s="165"/>
    </row>
    <row r="797">
      <c r="K797" s="165"/>
      <c r="L797" s="165"/>
      <c r="M797" s="165"/>
      <c r="N797" s="165"/>
      <c r="O797" s="165"/>
    </row>
    <row r="798">
      <c r="K798" s="165"/>
      <c r="L798" s="165"/>
      <c r="M798" s="165"/>
      <c r="N798" s="165"/>
      <c r="O798" s="165"/>
    </row>
    <row r="799">
      <c r="K799" s="165"/>
      <c r="L799" s="165"/>
      <c r="M799" s="165"/>
      <c r="N799" s="165"/>
      <c r="O799" s="165"/>
    </row>
    <row r="800">
      <c r="K800" s="165"/>
      <c r="L800" s="165"/>
      <c r="M800" s="165"/>
      <c r="N800" s="165"/>
      <c r="O800" s="165"/>
    </row>
    <row r="801">
      <c r="K801" s="165"/>
      <c r="L801" s="165"/>
      <c r="M801" s="165"/>
      <c r="N801" s="165"/>
      <c r="O801" s="165"/>
    </row>
    <row r="802">
      <c r="K802" s="165"/>
      <c r="L802" s="165"/>
      <c r="M802" s="165"/>
      <c r="N802" s="165"/>
      <c r="O802" s="165"/>
    </row>
    <row r="803">
      <c r="K803" s="165"/>
      <c r="L803" s="165"/>
      <c r="M803" s="165"/>
      <c r="N803" s="165"/>
      <c r="O803" s="165"/>
    </row>
    <row r="804">
      <c r="K804" s="165"/>
      <c r="L804" s="165"/>
      <c r="M804" s="165"/>
      <c r="N804" s="165"/>
      <c r="O804" s="165"/>
    </row>
    <row r="805">
      <c r="K805" s="165"/>
      <c r="L805" s="165"/>
      <c r="M805" s="165"/>
      <c r="N805" s="165"/>
      <c r="O805" s="165"/>
    </row>
    <row r="806">
      <c r="K806" s="165"/>
      <c r="L806" s="165"/>
      <c r="M806" s="165"/>
      <c r="N806" s="165"/>
      <c r="O806" s="165"/>
    </row>
    <row r="807">
      <c r="K807" s="165"/>
      <c r="L807" s="165"/>
      <c r="M807" s="165"/>
      <c r="N807" s="165"/>
      <c r="O807" s="165"/>
    </row>
    <row r="808">
      <c r="K808" s="165"/>
      <c r="L808" s="165"/>
      <c r="M808" s="165"/>
      <c r="N808" s="165"/>
      <c r="O808" s="165"/>
    </row>
    <row r="809">
      <c r="K809" s="165"/>
      <c r="L809" s="165"/>
      <c r="M809" s="165"/>
      <c r="N809" s="165"/>
      <c r="O809" s="165"/>
    </row>
    <row r="810">
      <c r="K810" s="165"/>
      <c r="L810" s="165"/>
      <c r="M810" s="165"/>
      <c r="N810" s="165"/>
      <c r="O810" s="165"/>
    </row>
    <row r="811">
      <c r="K811" s="165"/>
      <c r="L811" s="165"/>
      <c r="M811" s="165"/>
      <c r="N811" s="165"/>
      <c r="O811" s="165"/>
    </row>
    <row r="812">
      <c r="K812" s="165"/>
      <c r="L812" s="165"/>
      <c r="M812" s="165"/>
      <c r="N812" s="165"/>
      <c r="O812" s="165"/>
    </row>
    <row r="813">
      <c r="K813" s="165"/>
      <c r="L813" s="165"/>
      <c r="M813" s="165"/>
      <c r="N813" s="165"/>
      <c r="O813" s="165"/>
    </row>
    <row r="814">
      <c r="K814" s="165"/>
      <c r="L814" s="165"/>
      <c r="M814" s="165"/>
      <c r="N814" s="165"/>
      <c r="O814" s="165"/>
    </row>
    <row r="815">
      <c r="K815" s="165"/>
      <c r="L815" s="165"/>
      <c r="M815" s="165"/>
      <c r="N815" s="165"/>
      <c r="O815" s="165"/>
    </row>
    <row r="816">
      <c r="K816" s="165"/>
      <c r="L816" s="165"/>
      <c r="M816" s="165"/>
      <c r="N816" s="165"/>
      <c r="O816" s="165"/>
    </row>
    <row r="817">
      <c r="K817" s="165"/>
      <c r="L817" s="165"/>
      <c r="M817" s="165"/>
      <c r="N817" s="165"/>
      <c r="O817" s="165"/>
    </row>
    <row r="818">
      <c r="K818" s="165"/>
      <c r="L818" s="165"/>
      <c r="M818" s="165"/>
      <c r="N818" s="165"/>
      <c r="O818" s="165"/>
    </row>
    <row r="819">
      <c r="K819" s="165"/>
      <c r="L819" s="165"/>
      <c r="M819" s="165"/>
      <c r="N819" s="165"/>
      <c r="O819" s="165"/>
    </row>
    <row r="820">
      <c r="K820" s="165"/>
      <c r="L820" s="165"/>
      <c r="M820" s="165"/>
      <c r="N820" s="165"/>
      <c r="O820" s="165"/>
    </row>
    <row r="821">
      <c r="K821" s="165"/>
      <c r="L821" s="165"/>
      <c r="M821" s="165"/>
      <c r="N821" s="165"/>
      <c r="O821" s="165"/>
    </row>
    <row r="822">
      <c r="K822" s="165"/>
      <c r="L822" s="165"/>
      <c r="M822" s="165"/>
      <c r="N822" s="165"/>
      <c r="O822" s="165"/>
    </row>
    <row r="823">
      <c r="K823" s="165"/>
      <c r="L823" s="165"/>
      <c r="M823" s="165"/>
      <c r="N823" s="165"/>
      <c r="O823" s="165"/>
    </row>
    <row r="824">
      <c r="K824" s="165"/>
      <c r="L824" s="165"/>
      <c r="M824" s="165"/>
      <c r="N824" s="165"/>
      <c r="O824" s="165"/>
    </row>
    <row r="825">
      <c r="K825" s="165"/>
      <c r="L825" s="165"/>
      <c r="M825" s="165"/>
      <c r="N825" s="165"/>
      <c r="O825" s="165"/>
    </row>
    <row r="826">
      <c r="K826" s="165"/>
      <c r="L826" s="165"/>
      <c r="M826" s="165"/>
      <c r="N826" s="165"/>
      <c r="O826" s="165"/>
    </row>
    <row r="827">
      <c r="K827" s="165"/>
      <c r="L827" s="165"/>
      <c r="M827" s="165"/>
      <c r="N827" s="165"/>
      <c r="O827" s="165"/>
    </row>
    <row r="828">
      <c r="K828" s="165"/>
      <c r="L828" s="165"/>
      <c r="M828" s="165"/>
      <c r="N828" s="165"/>
      <c r="O828" s="165"/>
    </row>
    <row r="829">
      <c r="K829" s="165"/>
      <c r="L829" s="165"/>
      <c r="M829" s="165"/>
      <c r="N829" s="165"/>
      <c r="O829" s="165"/>
    </row>
    <row r="830">
      <c r="K830" s="165"/>
      <c r="L830" s="165"/>
      <c r="M830" s="165"/>
      <c r="N830" s="165"/>
      <c r="O830" s="165"/>
    </row>
    <row r="831">
      <c r="K831" s="165"/>
      <c r="L831" s="165"/>
      <c r="M831" s="165"/>
      <c r="N831" s="165"/>
      <c r="O831" s="165"/>
    </row>
    <row r="832">
      <c r="K832" s="165"/>
      <c r="L832" s="165"/>
      <c r="M832" s="165"/>
      <c r="N832" s="165"/>
      <c r="O832" s="165"/>
    </row>
    <row r="833">
      <c r="K833" s="165"/>
      <c r="L833" s="165"/>
      <c r="M833" s="165"/>
      <c r="N833" s="165"/>
      <c r="O833" s="165"/>
    </row>
    <row r="834">
      <c r="K834" s="165"/>
      <c r="L834" s="165"/>
      <c r="M834" s="165"/>
      <c r="N834" s="165"/>
      <c r="O834" s="165"/>
    </row>
    <row r="835">
      <c r="K835" s="165"/>
      <c r="L835" s="165"/>
      <c r="M835" s="165"/>
      <c r="N835" s="165"/>
      <c r="O835" s="165"/>
    </row>
    <row r="836">
      <c r="K836" s="165"/>
      <c r="L836" s="165"/>
      <c r="M836" s="165"/>
      <c r="N836" s="165"/>
      <c r="O836" s="165"/>
    </row>
    <row r="837">
      <c r="K837" s="165"/>
      <c r="L837" s="165"/>
      <c r="M837" s="165"/>
      <c r="N837" s="165"/>
      <c r="O837" s="165"/>
    </row>
    <row r="838">
      <c r="K838" s="165"/>
      <c r="L838" s="165"/>
      <c r="M838" s="165"/>
      <c r="N838" s="165"/>
      <c r="O838" s="165"/>
    </row>
    <row r="839">
      <c r="K839" s="165"/>
      <c r="L839" s="165"/>
      <c r="M839" s="165"/>
      <c r="N839" s="165"/>
      <c r="O839" s="165"/>
    </row>
    <row r="840">
      <c r="K840" s="165"/>
      <c r="L840" s="165"/>
      <c r="M840" s="165"/>
      <c r="N840" s="165"/>
      <c r="O840" s="165"/>
    </row>
    <row r="841">
      <c r="K841" s="165"/>
      <c r="L841" s="165"/>
      <c r="M841" s="165"/>
      <c r="N841" s="165"/>
      <c r="O841" s="165"/>
    </row>
    <row r="842">
      <c r="K842" s="165"/>
      <c r="L842" s="165"/>
      <c r="M842" s="165"/>
      <c r="N842" s="165"/>
      <c r="O842" s="165"/>
    </row>
    <row r="843">
      <c r="K843" s="165"/>
      <c r="L843" s="165"/>
      <c r="M843" s="165"/>
      <c r="N843" s="165"/>
      <c r="O843" s="165"/>
    </row>
    <row r="844">
      <c r="K844" s="165"/>
      <c r="L844" s="165"/>
      <c r="M844" s="165"/>
      <c r="N844" s="165"/>
      <c r="O844" s="165"/>
    </row>
    <row r="845">
      <c r="K845" s="165"/>
      <c r="L845" s="165"/>
      <c r="M845" s="165"/>
      <c r="N845" s="165"/>
      <c r="O845" s="165"/>
    </row>
    <row r="846">
      <c r="K846" s="165"/>
      <c r="L846" s="165"/>
      <c r="M846" s="165"/>
      <c r="N846" s="165"/>
      <c r="O846" s="165"/>
    </row>
    <row r="847">
      <c r="K847" s="165"/>
      <c r="L847" s="165"/>
      <c r="M847" s="165"/>
      <c r="N847" s="165"/>
      <c r="O847" s="165"/>
    </row>
    <row r="848">
      <c r="K848" s="165"/>
      <c r="L848" s="165"/>
      <c r="M848" s="165"/>
      <c r="N848" s="165"/>
      <c r="O848" s="165"/>
    </row>
    <row r="849">
      <c r="K849" s="165"/>
      <c r="L849" s="165"/>
      <c r="M849" s="165"/>
      <c r="N849" s="165"/>
      <c r="O849" s="165"/>
    </row>
    <row r="850">
      <c r="K850" s="165"/>
      <c r="L850" s="165"/>
      <c r="M850" s="165"/>
      <c r="N850" s="165"/>
      <c r="O850" s="165"/>
    </row>
    <row r="851">
      <c r="K851" s="165"/>
      <c r="L851" s="165"/>
      <c r="M851" s="165"/>
      <c r="N851" s="165"/>
      <c r="O851" s="165"/>
    </row>
    <row r="852">
      <c r="K852" s="165"/>
      <c r="L852" s="165"/>
      <c r="M852" s="165"/>
      <c r="N852" s="165"/>
      <c r="O852" s="165"/>
    </row>
    <row r="853">
      <c r="K853" s="165"/>
      <c r="L853" s="165"/>
      <c r="M853" s="165"/>
      <c r="N853" s="165"/>
      <c r="O853" s="165"/>
    </row>
    <row r="854">
      <c r="K854" s="165"/>
      <c r="L854" s="165"/>
      <c r="M854" s="165"/>
      <c r="N854" s="165"/>
      <c r="O854" s="165"/>
    </row>
    <row r="855">
      <c r="K855" s="165"/>
      <c r="L855" s="165"/>
      <c r="M855" s="165"/>
      <c r="N855" s="165"/>
      <c r="O855" s="165"/>
    </row>
    <row r="856">
      <c r="K856" s="165"/>
      <c r="L856" s="165"/>
      <c r="M856" s="165"/>
      <c r="N856" s="165"/>
      <c r="O856" s="165"/>
    </row>
    <row r="857">
      <c r="K857" s="165"/>
      <c r="L857" s="165"/>
      <c r="M857" s="165"/>
      <c r="N857" s="165"/>
      <c r="O857" s="165"/>
    </row>
    <row r="858">
      <c r="K858" s="165"/>
      <c r="L858" s="165"/>
      <c r="M858" s="165"/>
      <c r="N858" s="165"/>
      <c r="O858" s="165"/>
    </row>
    <row r="859">
      <c r="K859" s="165"/>
      <c r="L859" s="165"/>
      <c r="M859" s="165"/>
      <c r="N859" s="165"/>
      <c r="O859" s="165"/>
    </row>
    <row r="860">
      <c r="K860" s="165"/>
      <c r="L860" s="165"/>
      <c r="M860" s="165"/>
      <c r="N860" s="165"/>
      <c r="O860" s="165"/>
    </row>
    <row r="861">
      <c r="K861" s="165"/>
      <c r="L861" s="165"/>
      <c r="M861" s="165"/>
      <c r="N861" s="165"/>
      <c r="O861" s="165"/>
    </row>
    <row r="862">
      <c r="K862" s="165"/>
      <c r="L862" s="165"/>
      <c r="M862" s="165"/>
      <c r="N862" s="165"/>
      <c r="O862" s="165"/>
    </row>
    <row r="863">
      <c r="K863" s="165"/>
      <c r="L863" s="165"/>
      <c r="M863" s="165"/>
      <c r="N863" s="165"/>
      <c r="O863" s="165"/>
    </row>
    <row r="864">
      <c r="K864" s="165"/>
      <c r="L864" s="165"/>
      <c r="M864" s="165"/>
      <c r="N864" s="165"/>
      <c r="O864" s="165"/>
    </row>
    <row r="865">
      <c r="K865" s="165"/>
      <c r="L865" s="165"/>
      <c r="M865" s="165"/>
      <c r="N865" s="165"/>
      <c r="O865" s="165"/>
    </row>
    <row r="866">
      <c r="K866" s="165"/>
      <c r="L866" s="165"/>
      <c r="M866" s="165"/>
      <c r="N866" s="165"/>
      <c r="O866" s="165"/>
    </row>
    <row r="867">
      <c r="K867" s="165"/>
      <c r="L867" s="165"/>
      <c r="M867" s="165"/>
      <c r="N867" s="165"/>
      <c r="O867" s="165"/>
    </row>
    <row r="868">
      <c r="K868" s="165"/>
      <c r="L868" s="165"/>
      <c r="M868" s="165"/>
      <c r="N868" s="165"/>
      <c r="O868" s="165"/>
    </row>
    <row r="869">
      <c r="K869" s="165"/>
      <c r="L869" s="165"/>
      <c r="M869" s="165"/>
      <c r="N869" s="165"/>
      <c r="O869" s="165"/>
    </row>
    <row r="870">
      <c r="K870" s="165"/>
      <c r="L870" s="165"/>
      <c r="M870" s="165"/>
      <c r="N870" s="165"/>
      <c r="O870" s="165"/>
    </row>
    <row r="871">
      <c r="K871" s="165"/>
      <c r="L871" s="165"/>
      <c r="M871" s="165"/>
      <c r="N871" s="165"/>
      <c r="O871" s="165"/>
    </row>
    <row r="872">
      <c r="K872" s="165"/>
      <c r="L872" s="165"/>
      <c r="M872" s="165"/>
      <c r="N872" s="165"/>
      <c r="O872" s="165"/>
    </row>
    <row r="873">
      <c r="K873" s="165"/>
      <c r="L873" s="165"/>
      <c r="M873" s="165"/>
      <c r="N873" s="165"/>
      <c r="O873" s="165"/>
    </row>
    <row r="874">
      <c r="K874" s="165"/>
      <c r="L874" s="165"/>
      <c r="M874" s="165"/>
      <c r="N874" s="165"/>
      <c r="O874" s="165"/>
    </row>
    <row r="875">
      <c r="K875" s="165"/>
      <c r="L875" s="165"/>
      <c r="M875" s="165"/>
      <c r="N875" s="165"/>
      <c r="O875" s="165"/>
    </row>
    <row r="876">
      <c r="K876" s="165"/>
      <c r="L876" s="165"/>
      <c r="M876" s="165"/>
      <c r="N876" s="165"/>
      <c r="O876" s="165"/>
    </row>
    <row r="877">
      <c r="K877" s="165"/>
      <c r="L877" s="165"/>
      <c r="M877" s="165"/>
      <c r="N877" s="165"/>
      <c r="O877" s="165"/>
    </row>
    <row r="878">
      <c r="K878" s="165"/>
      <c r="L878" s="165"/>
      <c r="M878" s="165"/>
      <c r="N878" s="165"/>
      <c r="O878" s="165"/>
    </row>
    <row r="879">
      <c r="K879" s="165"/>
      <c r="L879" s="165"/>
      <c r="M879" s="165"/>
      <c r="N879" s="165"/>
      <c r="O879" s="165"/>
    </row>
    <row r="880">
      <c r="K880" s="165"/>
      <c r="L880" s="165"/>
      <c r="M880" s="165"/>
      <c r="N880" s="165"/>
      <c r="O880" s="165"/>
    </row>
    <row r="881">
      <c r="K881" s="165"/>
      <c r="L881" s="165"/>
      <c r="M881" s="165"/>
      <c r="N881" s="165"/>
      <c r="O881" s="165"/>
    </row>
    <row r="882">
      <c r="K882" s="165"/>
      <c r="L882" s="165"/>
      <c r="M882" s="165"/>
      <c r="N882" s="165"/>
      <c r="O882" s="165"/>
    </row>
    <row r="883">
      <c r="K883" s="165"/>
      <c r="L883" s="165"/>
      <c r="M883" s="165"/>
      <c r="N883" s="165"/>
      <c r="O883" s="165"/>
    </row>
    <row r="884">
      <c r="K884" s="165"/>
      <c r="L884" s="165"/>
      <c r="M884" s="165"/>
      <c r="N884" s="165"/>
      <c r="O884" s="165"/>
    </row>
    <row r="885">
      <c r="K885" s="165"/>
      <c r="L885" s="165"/>
      <c r="M885" s="165"/>
      <c r="N885" s="165"/>
      <c r="O885" s="165"/>
    </row>
    <row r="886">
      <c r="K886" s="165"/>
      <c r="L886" s="165"/>
      <c r="M886" s="165"/>
      <c r="N886" s="165"/>
      <c r="O886" s="165"/>
    </row>
    <row r="887">
      <c r="K887" s="165"/>
      <c r="L887" s="165"/>
      <c r="M887" s="165"/>
      <c r="N887" s="165"/>
      <c r="O887" s="165"/>
    </row>
    <row r="888">
      <c r="K888" s="165"/>
      <c r="L888" s="165"/>
      <c r="M888" s="165"/>
      <c r="N888" s="165"/>
      <c r="O888" s="165"/>
    </row>
    <row r="889">
      <c r="K889" s="165"/>
      <c r="L889" s="165"/>
      <c r="M889" s="165"/>
      <c r="N889" s="165"/>
      <c r="O889" s="165"/>
    </row>
    <row r="890">
      <c r="K890" s="165"/>
      <c r="L890" s="165"/>
      <c r="M890" s="165"/>
      <c r="N890" s="165"/>
      <c r="O890" s="165"/>
    </row>
    <row r="891">
      <c r="K891" s="165"/>
      <c r="L891" s="165"/>
      <c r="M891" s="165"/>
      <c r="N891" s="165"/>
      <c r="O891" s="165"/>
    </row>
    <row r="892">
      <c r="K892" s="165"/>
      <c r="L892" s="165"/>
      <c r="M892" s="165"/>
      <c r="N892" s="165"/>
      <c r="O892" s="165"/>
    </row>
    <row r="893">
      <c r="K893" s="165"/>
      <c r="L893" s="165"/>
      <c r="M893" s="165"/>
      <c r="N893" s="165"/>
      <c r="O893" s="165"/>
    </row>
    <row r="894">
      <c r="K894" s="165"/>
      <c r="L894" s="165"/>
      <c r="M894" s="165"/>
      <c r="N894" s="165"/>
      <c r="O894" s="165"/>
    </row>
    <row r="895">
      <c r="K895" s="165"/>
      <c r="L895" s="165"/>
      <c r="M895" s="165"/>
      <c r="N895" s="165"/>
      <c r="O895" s="165"/>
    </row>
    <row r="896">
      <c r="K896" s="165"/>
      <c r="L896" s="165"/>
      <c r="M896" s="165"/>
      <c r="N896" s="165"/>
      <c r="O896" s="165"/>
    </row>
    <row r="897">
      <c r="K897" s="165"/>
      <c r="L897" s="165"/>
      <c r="M897" s="165"/>
      <c r="N897" s="165"/>
      <c r="O897" s="165"/>
    </row>
    <row r="898">
      <c r="K898" s="165"/>
      <c r="L898" s="165"/>
      <c r="M898" s="165"/>
      <c r="N898" s="165"/>
      <c r="O898" s="165"/>
    </row>
    <row r="899">
      <c r="K899" s="165"/>
      <c r="L899" s="165"/>
      <c r="M899" s="165"/>
      <c r="N899" s="165"/>
      <c r="O899" s="165"/>
    </row>
    <row r="900">
      <c r="K900" s="165"/>
      <c r="L900" s="165"/>
      <c r="M900" s="165"/>
      <c r="N900" s="165"/>
      <c r="O900" s="165"/>
    </row>
    <row r="901">
      <c r="K901" s="165"/>
      <c r="L901" s="165"/>
      <c r="M901" s="165"/>
      <c r="N901" s="165"/>
      <c r="O901" s="165"/>
    </row>
    <row r="902">
      <c r="K902" s="165"/>
      <c r="L902" s="165"/>
      <c r="M902" s="165"/>
      <c r="N902" s="165"/>
      <c r="O902" s="165"/>
    </row>
    <row r="903">
      <c r="K903" s="165"/>
      <c r="L903" s="165"/>
      <c r="M903" s="165"/>
      <c r="N903" s="165"/>
      <c r="O903" s="165"/>
    </row>
    <row r="904">
      <c r="K904" s="165"/>
      <c r="L904" s="165"/>
      <c r="M904" s="165"/>
      <c r="N904" s="165"/>
      <c r="O904" s="165"/>
    </row>
    <row r="905">
      <c r="K905" s="165"/>
      <c r="L905" s="165"/>
      <c r="M905" s="165"/>
      <c r="N905" s="165"/>
      <c r="O905" s="165"/>
    </row>
    <row r="906">
      <c r="K906" s="165"/>
      <c r="L906" s="165"/>
      <c r="M906" s="165"/>
      <c r="N906" s="165"/>
      <c r="O906" s="165"/>
    </row>
    <row r="907">
      <c r="K907" s="165"/>
      <c r="L907" s="165"/>
      <c r="M907" s="165"/>
      <c r="N907" s="165"/>
      <c r="O907" s="165"/>
    </row>
    <row r="908">
      <c r="K908" s="165"/>
      <c r="L908" s="165"/>
      <c r="M908" s="165"/>
      <c r="N908" s="165"/>
      <c r="O908" s="165"/>
    </row>
    <row r="909">
      <c r="K909" s="165"/>
      <c r="L909" s="165"/>
      <c r="M909" s="165"/>
      <c r="N909" s="165"/>
      <c r="O909" s="165"/>
    </row>
    <row r="910">
      <c r="K910" s="165"/>
      <c r="L910" s="165"/>
      <c r="M910" s="165"/>
      <c r="N910" s="165"/>
      <c r="O910" s="165"/>
    </row>
    <row r="911">
      <c r="K911" s="165"/>
      <c r="L911" s="165"/>
      <c r="M911" s="165"/>
      <c r="N911" s="165"/>
      <c r="O911" s="165"/>
    </row>
    <row r="912">
      <c r="K912" s="165"/>
      <c r="L912" s="165"/>
      <c r="M912" s="165"/>
      <c r="N912" s="165"/>
      <c r="O912" s="165"/>
    </row>
    <row r="913">
      <c r="K913" s="165"/>
      <c r="L913" s="165"/>
      <c r="M913" s="165"/>
      <c r="N913" s="165"/>
      <c r="O913" s="165"/>
    </row>
    <row r="914">
      <c r="K914" s="165"/>
      <c r="L914" s="165"/>
      <c r="M914" s="165"/>
      <c r="N914" s="165"/>
      <c r="O914" s="165"/>
    </row>
    <row r="915">
      <c r="K915" s="165"/>
      <c r="L915" s="165"/>
      <c r="M915" s="165"/>
      <c r="N915" s="165"/>
      <c r="O915" s="165"/>
    </row>
    <row r="916">
      <c r="K916" s="165"/>
      <c r="L916" s="165"/>
      <c r="M916" s="165"/>
      <c r="N916" s="165"/>
      <c r="O916" s="165"/>
    </row>
    <row r="917">
      <c r="K917" s="165"/>
      <c r="L917" s="165"/>
      <c r="M917" s="165"/>
      <c r="N917" s="165"/>
      <c r="O917" s="165"/>
    </row>
    <row r="918">
      <c r="K918" s="165"/>
      <c r="L918" s="165"/>
      <c r="M918" s="165"/>
      <c r="N918" s="165"/>
      <c r="O918" s="165"/>
    </row>
    <row r="919">
      <c r="K919" s="165"/>
      <c r="L919" s="165"/>
      <c r="M919" s="165"/>
      <c r="N919" s="165"/>
      <c r="O919" s="165"/>
    </row>
    <row r="920">
      <c r="K920" s="165"/>
      <c r="L920" s="165"/>
      <c r="M920" s="165"/>
      <c r="N920" s="165"/>
      <c r="O920" s="165"/>
    </row>
    <row r="921">
      <c r="K921" s="165"/>
      <c r="L921" s="165"/>
      <c r="M921" s="165"/>
      <c r="N921" s="165"/>
      <c r="O921" s="165"/>
    </row>
    <row r="922">
      <c r="K922" s="165"/>
      <c r="L922" s="165"/>
      <c r="M922" s="165"/>
      <c r="N922" s="165"/>
      <c r="O922" s="165"/>
    </row>
    <row r="923">
      <c r="K923" s="165"/>
      <c r="L923" s="165"/>
      <c r="M923" s="165"/>
      <c r="N923" s="165"/>
      <c r="O923" s="165"/>
    </row>
    <row r="924">
      <c r="K924" s="165"/>
      <c r="L924" s="165"/>
      <c r="M924" s="165"/>
      <c r="N924" s="165"/>
      <c r="O924" s="165"/>
    </row>
    <row r="925">
      <c r="K925" s="165"/>
      <c r="L925" s="165"/>
      <c r="M925" s="165"/>
      <c r="N925" s="165"/>
      <c r="O925" s="165"/>
    </row>
    <row r="926">
      <c r="K926" s="165"/>
      <c r="L926" s="165"/>
      <c r="M926" s="165"/>
      <c r="N926" s="165"/>
      <c r="O926" s="165"/>
    </row>
    <row r="927">
      <c r="K927" s="165"/>
      <c r="L927" s="165"/>
      <c r="M927" s="165"/>
      <c r="N927" s="165"/>
      <c r="O927" s="165"/>
    </row>
    <row r="928">
      <c r="K928" s="165"/>
      <c r="L928" s="165"/>
      <c r="M928" s="165"/>
      <c r="N928" s="165"/>
      <c r="O928" s="165"/>
    </row>
    <row r="929">
      <c r="K929" s="165"/>
      <c r="L929" s="165"/>
      <c r="M929" s="165"/>
      <c r="N929" s="165"/>
      <c r="O929" s="165"/>
    </row>
    <row r="930">
      <c r="K930" s="165"/>
      <c r="L930" s="165"/>
      <c r="M930" s="165"/>
      <c r="N930" s="165"/>
      <c r="O930" s="165"/>
    </row>
    <row r="931">
      <c r="K931" s="165"/>
      <c r="L931" s="165"/>
      <c r="M931" s="165"/>
      <c r="N931" s="165"/>
      <c r="O931" s="165"/>
    </row>
    <row r="932">
      <c r="K932" s="165"/>
      <c r="L932" s="165"/>
      <c r="M932" s="165"/>
      <c r="N932" s="165"/>
      <c r="O932" s="165"/>
    </row>
    <row r="933">
      <c r="K933" s="165"/>
      <c r="L933" s="165"/>
      <c r="M933" s="165"/>
      <c r="N933" s="165"/>
      <c r="O933" s="165"/>
    </row>
    <row r="934">
      <c r="K934" s="165"/>
      <c r="L934" s="165"/>
      <c r="M934" s="165"/>
      <c r="N934" s="165"/>
      <c r="O934" s="165"/>
    </row>
    <row r="935">
      <c r="K935" s="165"/>
      <c r="L935" s="165"/>
      <c r="M935" s="165"/>
      <c r="N935" s="165"/>
      <c r="O935" s="165"/>
    </row>
    <row r="936">
      <c r="K936" s="165"/>
      <c r="L936" s="165"/>
      <c r="M936" s="165"/>
      <c r="N936" s="165"/>
      <c r="O936" s="165"/>
    </row>
    <row r="937">
      <c r="K937" s="165"/>
      <c r="L937" s="165"/>
      <c r="M937" s="165"/>
      <c r="N937" s="165"/>
      <c r="O937" s="165"/>
    </row>
    <row r="938">
      <c r="K938" s="165"/>
      <c r="L938" s="165"/>
      <c r="M938" s="165"/>
      <c r="N938" s="165"/>
      <c r="O938" s="165"/>
    </row>
    <row r="939">
      <c r="K939" s="165"/>
      <c r="L939" s="165"/>
      <c r="M939" s="165"/>
      <c r="N939" s="165"/>
      <c r="O939" s="165"/>
    </row>
    <row r="940">
      <c r="K940" s="165"/>
      <c r="L940" s="165"/>
      <c r="M940" s="165"/>
      <c r="N940" s="165"/>
      <c r="O940" s="165"/>
    </row>
    <row r="941">
      <c r="K941" s="165"/>
      <c r="L941" s="165"/>
      <c r="M941" s="165"/>
      <c r="N941" s="165"/>
      <c r="O941" s="165"/>
    </row>
    <row r="942">
      <c r="K942" s="165"/>
      <c r="L942" s="165"/>
      <c r="M942" s="165"/>
      <c r="N942" s="165"/>
      <c r="O942" s="165"/>
    </row>
    <row r="943">
      <c r="K943" s="165"/>
      <c r="L943" s="165"/>
      <c r="M943" s="165"/>
      <c r="N943" s="165"/>
      <c r="O943" s="165"/>
    </row>
    <row r="944">
      <c r="K944" s="165"/>
      <c r="L944" s="165"/>
      <c r="M944" s="165"/>
      <c r="N944" s="165"/>
      <c r="O944" s="165"/>
    </row>
    <row r="945">
      <c r="K945" s="165"/>
      <c r="L945" s="165"/>
      <c r="M945" s="165"/>
      <c r="N945" s="165"/>
      <c r="O945" s="165"/>
    </row>
    <row r="946">
      <c r="K946" s="165"/>
      <c r="L946" s="165"/>
      <c r="M946" s="165"/>
      <c r="N946" s="165"/>
      <c r="O946" s="165"/>
    </row>
    <row r="947">
      <c r="K947" s="165"/>
      <c r="L947" s="165"/>
      <c r="M947" s="165"/>
      <c r="N947" s="165"/>
      <c r="O947" s="165"/>
    </row>
    <row r="948">
      <c r="K948" s="165"/>
      <c r="L948" s="165"/>
      <c r="M948" s="165"/>
      <c r="N948" s="165"/>
      <c r="O948" s="165"/>
    </row>
    <row r="949">
      <c r="K949" s="165"/>
      <c r="L949" s="165"/>
      <c r="M949" s="165"/>
      <c r="N949" s="165"/>
      <c r="O949" s="165"/>
    </row>
    <row r="950">
      <c r="K950" s="165"/>
      <c r="L950" s="165"/>
      <c r="M950" s="165"/>
      <c r="N950" s="165"/>
      <c r="O950" s="165"/>
    </row>
    <row r="951">
      <c r="K951" s="165"/>
      <c r="L951" s="165"/>
      <c r="M951" s="165"/>
      <c r="N951" s="165"/>
      <c r="O951" s="165"/>
    </row>
    <row r="952">
      <c r="K952" s="165"/>
      <c r="L952" s="165"/>
      <c r="M952" s="165"/>
      <c r="N952" s="165"/>
      <c r="O952" s="165"/>
    </row>
    <row r="953">
      <c r="K953" s="165"/>
      <c r="L953" s="165"/>
      <c r="M953" s="165"/>
      <c r="N953" s="165"/>
      <c r="O953" s="165"/>
    </row>
    <row r="954">
      <c r="K954" s="165"/>
      <c r="L954" s="165"/>
      <c r="M954" s="165"/>
      <c r="N954" s="165"/>
      <c r="O954" s="165"/>
    </row>
    <row r="955">
      <c r="K955" s="165"/>
      <c r="L955" s="165"/>
      <c r="M955" s="165"/>
      <c r="N955" s="165"/>
      <c r="O955" s="165"/>
    </row>
    <row r="956">
      <c r="K956" s="165"/>
      <c r="L956" s="165"/>
      <c r="M956" s="165"/>
      <c r="N956" s="165"/>
      <c r="O956" s="165"/>
    </row>
    <row r="957">
      <c r="K957" s="165"/>
      <c r="L957" s="165"/>
      <c r="M957" s="165"/>
      <c r="N957" s="165"/>
      <c r="O957" s="165"/>
    </row>
    <row r="958">
      <c r="K958" s="165"/>
      <c r="L958" s="165"/>
      <c r="M958" s="165"/>
      <c r="N958" s="165"/>
      <c r="O958" s="165"/>
    </row>
    <row r="959">
      <c r="K959" s="165"/>
      <c r="L959" s="165"/>
      <c r="M959" s="165"/>
      <c r="N959" s="165"/>
      <c r="O959" s="165"/>
    </row>
    <row r="960">
      <c r="K960" s="165"/>
      <c r="L960" s="165"/>
      <c r="M960" s="165"/>
      <c r="N960" s="165"/>
      <c r="O960" s="165"/>
    </row>
    <row r="961">
      <c r="K961" s="165"/>
      <c r="L961" s="165"/>
      <c r="M961" s="165"/>
      <c r="N961" s="165"/>
      <c r="O961" s="165"/>
    </row>
    <row r="962">
      <c r="K962" s="165"/>
      <c r="L962" s="165"/>
      <c r="M962" s="165"/>
      <c r="N962" s="165"/>
      <c r="O962" s="165"/>
    </row>
    <row r="963">
      <c r="K963" s="165"/>
      <c r="L963" s="165"/>
      <c r="M963" s="165"/>
      <c r="N963" s="165"/>
      <c r="O963" s="165"/>
    </row>
    <row r="964">
      <c r="K964" s="165"/>
      <c r="L964" s="165"/>
      <c r="M964" s="165"/>
      <c r="N964" s="165"/>
      <c r="O964" s="165"/>
    </row>
    <row r="965">
      <c r="K965" s="165"/>
      <c r="L965" s="165"/>
      <c r="M965" s="165"/>
      <c r="N965" s="165"/>
      <c r="O965" s="165"/>
    </row>
    <row r="966">
      <c r="K966" s="165"/>
      <c r="L966" s="165"/>
      <c r="M966" s="165"/>
      <c r="N966" s="165"/>
      <c r="O966" s="165"/>
    </row>
    <row r="967">
      <c r="K967" s="165"/>
      <c r="L967" s="165"/>
      <c r="M967" s="165"/>
      <c r="N967" s="165"/>
      <c r="O967" s="165"/>
    </row>
    <row r="968">
      <c r="K968" s="165"/>
      <c r="L968" s="165"/>
      <c r="M968" s="165"/>
      <c r="N968" s="165"/>
      <c r="O968" s="165"/>
    </row>
    <row r="969">
      <c r="K969" s="165"/>
      <c r="L969" s="165"/>
      <c r="M969" s="165"/>
      <c r="N969" s="165"/>
      <c r="O969" s="165"/>
    </row>
    <row r="970">
      <c r="K970" s="165"/>
      <c r="L970" s="165"/>
      <c r="M970" s="165"/>
      <c r="N970" s="165"/>
      <c r="O970" s="165"/>
    </row>
    <row r="971">
      <c r="K971" s="165"/>
      <c r="L971" s="165"/>
      <c r="M971" s="165"/>
      <c r="N971" s="165"/>
      <c r="O971" s="165"/>
    </row>
    <row r="972">
      <c r="K972" s="165"/>
      <c r="L972" s="165"/>
      <c r="M972" s="165"/>
      <c r="N972" s="165"/>
      <c r="O972" s="165"/>
    </row>
    <row r="973">
      <c r="K973" s="165"/>
      <c r="L973" s="165"/>
      <c r="M973" s="165"/>
      <c r="N973" s="165"/>
      <c r="O973" s="165"/>
    </row>
    <row r="974">
      <c r="K974" s="165"/>
      <c r="L974" s="165"/>
      <c r="M974" s="165"/>
      <c r="N974" s="165"/>
      <c r="O974" s="165"/>
    </row>
    <row r="975">
      <c r="K975" s="165"/>
      <c r="L975" s="165"/>
      <c r="M975" s="165"/>
      <c r="N975" s="165"/>
      <c r="O975" s="165"/>
    </row>
    <row r="976">
      <c r="K976" s="165"/>
      <c r="L976" s="165"/>
      <c r="M976" s="165"/>
      <c r="N976" s="165"/>
      <c r="O976" s="165"/>
    </row>
    <row r="977">
      <c r="K977" s="165"/>
      <c r="L977" s="165"/>
      <c r="M977" s="165"/>
      <c r="N977" s="165"/>
      <c r="O977" s="165"/>
    </row>
    <row r="978">
      <c r="K978" s="165"/>
      <c r="L978" s="165"/>
      <c r="M978" s="165"/>
      <c r="N978" s="165"/>
      <c r="O978" s="165"/>
    </row>
    <row r="979">
      <c r="K979" s="165"/>
      <c r="L979" s="165"/>
      <c r="M979" s="165"/>
      <c r="N979" s="165"/>
      <c r="O979" s="165"/>
    </row>
    <row r="980">
      <c r="K980" s="165"/>
      <c r="L980" s="165"/>
      <c r="M980" s="165"/>
      <c r="N980" s="165"/>
      <c r="O980" s="165"/>
    </row>
    <row r="981">
      <c r="K981" s="165"/>
      <c r="L981" s="165"/>
      <c r="M981" s="165"/>
      <c r="N981" s="165"/>
      <c r="O981" s="165"/>
    </row>
    <row r="982">
      <c r="K982" s="165"/>
      <c r="L982" s="165"/>
      <c r="M982" s="165"/>
      <c r="N982" s="165"/>
      <c r="O982" s="165"/>
    </row>
    <row r="983">
      <c r="K983" s="165"/>
      <c r="L983" s="165"/>
      <c r="M983" s="165"/>
      <c r="N983" s="165"/>
      <c r="O983" s="165"/>
    </row>
    <row r="984">
      <c r="K984" s="165"/>
      <c r="L984" s="165"/>
      <c r="M984" s="165"/>
      <c r="N984" s="165"/>
      <c r="O984" s="165"/>
    </row>
    <row r="985">
      <c r="K985" s="165"/>
      <c r="L985" s="165"/>
      <c r="M985" s="165"/>
      <c r="N985" s="165"/>
      <c r="O985" s="165"/>
    </row>
    <row r="986">
      <c r="K986" s="165"/>
      <c r="L986" s="165"/>
      <c r="M986" s="165"/>
      <c r="N986" s="165"/>
      <c r="O986" s="165"/>
    </row>
    <row r="987">
      <c r="K987" s="165"/>
      <c r="L987" s="165"/>
      <c r="M987" s="165"/>
      <c r="N987" s="165"/>
      <c r="O987" s="165"/>
    </row>
    <row r="988">
      <c r="K988" s="165"/>
      <c r="L988" s="165"/>
      <c r="M988" s="165"/>
      <c r="N988" s="165"/>
      <c r="O988" s="165"/>
    </row>
    <row r="989">
      <c r="K989" s="165"/>
      <c r="L989" s="165"/>
      <c r="M989" s="165"/>
      <c r="N989" s="165"/>
      <c r="O989" s="165"/>
    </row>
    <row r="990">
      <c r="K990" s="165"/>
      <c r="L990" s="165"/>
      <c r="M990" s="165"/>
      <c r="N990" s="165"/>
      <c r="O990" s="165"/>
    </row>
    <row r="991">
      <c r="K991" s="165"/>
      <c r="L991" s="165"/>
      <c r="M991" s="165"/>
      <c r="N991" s="165"/>
      <c r="O991" s="165"/>
    </row>
    <row r="992">
      <c r="K992" s="165"/>
      <c r="L992" s="165"/>
      <c r="M992" s="165"/>
      <c r="N992" s="165"/>
      <c r="O992" s="165"/>
    </row>
    <row r="993">
      <c r="K993" s="165"/>
      <c r="L993" s="165"/>
      <c r="M993" s="165"/>
      <c r="N993" s="165"/>
      <c r="O993" s="165"/>
    </row>
    <row r="994">
      <c r="K994" s="165"/>
      <c r="L994" s="165"/>
      <c r="M994" s="165"/>
      <c r="N994" s="165"/>
      <c r="O994" s="165"/>
    </row>
    <row r="995">
      <c r="K995" s="165"/>
      <c r="L995" s="165"/>
      <c r="M995" s="165"/>
      <c r="N995" s="165"/>
      <c r="O995" s="165"/>
    </row>
    <row r="996">
      <c r="K996" s="165"/>
      <c r="L996" s="165"/>
      <c r="M996" s="165"/>
      <c r="N996" s="165"/>
      <c r="O996" s="165"/>
    </row>
    <row r="997">
      <c r="K997" s="165"/>
      <c r="L997" s="165"/>
      <c r="M997" s="165"/>
      <c r="N997" s="165"/>
      <c r="O997" s="165"/>
    </row>
  </sheetData>
  <mergeCells count="2">
    <mergeCell ref="A1:D1"/>
    <mergeCell ref="C3:N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3.86"/>
    <col customWidth="1" min="3" max="3" width="16.57"/>
    <col customWidth="1" min="4" max="4" width="44.29"/>
    <col customWidth="1" min="5" max="5" width="28.0"/>
    <col customWidth="1" min="6" max="6" width="28.14"/>
    <col customWidth="1" min="7" max="7" width="18.29"/>
    <col customWidth="1" min="8" max="8" width="37.43"/>
    <col customWidth="1" min="9" max="9" width="7.71"/>
    <col customWidth="1" min="10" max="10" width="63.43"/>
    <col customWidth="1" min="11" max="11" width="26.0"/>
    <col customWidth="1" min="12" max="12" width="5.0"/>
    <col customWidth="1" min="13" max="13" width="18.0"/>
    <col customWidth="1" min="14" max="14" width="20.86"/>
  </cols>
  <sheetData>
    <row r="1" ht="37.5" customHeight="1">
      <c r="A1" s="1" t="s">
        <v>258</v>
      </c>
      <c r="I1" s="165"/>
      <c r="J1" s="165"/>
      <c r="K1" s="165"/>
      <c r="L1" s="165"/>
      <c r="M1" s="165"/>
    </row>
    <row r="2" ht="28.5" customHeight="1">
      <c r="A2" s="111" t="s">
        <v>259</v>
      </c>
      <c r="E2" s="7"/>
      <c r="F2" s="7"/>
      <c r="G2" s="7"/>
      <c r="H2" s="7"/>
      <c r="I2" s="7"/>
      <c r="J2" s="7"/>
      <c r="K2" s="7"/>
      <c r="L2" s="7"/>
      <c r="M2" s="165"/>
      <c r="N2" s="10"/>
    </row>
    <row r="3" ht="28.5" customHeight="1">
      <c r="A3" s="254" t="s">
        <v>260</v>
      </c>
      <c r="B3" s="255" t="s">
        <v>261</v>
      </c>
      <c r="C3" s="254"/>
      <c r="D3" s="254"/>
      <c r="E3" s="7"/>
      <c r="F3" s="7"/>
      <c r="G3" s="7"/>
      <c r="H3" s="7"/>
      <c r="I3" s="7"/>
      <c r="J3" s="7"/>
      <c r="K3" s="7"/>
      <c r="L3" s="7"/>
      <c r="M3" s="165"/>
      <c r="N3" s="10"/>
    </row>
    <row r="4" ht="23.2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165"/>
      <c r="N4" s="10"/>
    </row>
    <row r="5" ht="43.5" customHeight="1">
      <c r="A5" s="256" t="s">
        <v>246</v>
      </c>
      <c r="B5" s="257" t="s">
        <v>247</v>
      </c>
      <c r="C5" s="257" t="s">
        <v>262</v>
      </c>
      <c r="D5" s="258" t="s">
        <v>263</v>
      </c>
      <c r="E5" s="257" t="s">
        <v>229</v>
      </c>
      <c r="F5" s="257" t="s">
        <v>230</v>
      </c>
      <c r="G5" s="256" t="s">
        <v>248</v>
      </c>
      <c r="H5" s="259" t="s">
        <v>264</v>
      </c>
      <c r="I5" s="172"/>
      <c r="J5" s="230" t="s">
        <v>226</v>
      </c>
      <c r="K5" s="231"/>
      <c r="L5" s="172"/>
      <c r="M5" s="173"/>
      <c r="N5" s="27"/>
    </row>
    <row r="6" ht="32.25" customHeight="1">
      <c r="A6" s="260">
        <v>501.0</v>
      </c>
      <c r="B6" s="261" t="s">
        <v>249</v>
      </c>
      <c r="C6" s="262" t="s">
        <v>265</v>
      </c>
      <c r="D6" s="263" t="s">
        <v>266</v>
      </c>
      <c r="E6" s="264">
        <v>244602.0</v>
      </c>
      <c r="F6" s="264">
        <v>244604.0</v>
      </c>
      <c r="G6" s="265">
        <v>2.0</v>
      </c>
      <c r="H6" s="266" t="s">
        <v>267</v>
      </c>
      <c r="I6" s="182"/>
      <c r="J6" s="267" t="s">
        <v>268</v>
      </c>
      <c r="K6" s="238"/>
      <c r="L6" s="184"/>
      <c r="M6" s="184"/>
      <c r="N6" s="45"/>
    </row>
    <row r="7" ht="32.25" customHeight="1">
      <c r="A7" s="268">
        <v>502.0</v>
      </c>
      <c r="B7" s="261" t="s">
        <v>249</v>
      </c>
      <c r="C7" s="262" t="s">
        <v>265</v>
      </c>
      <c r="D7" s="261" t="s">
        <v>269</v>
      </c>
      <c r="E7" s="264">
        <v>244602.0</v>
      </c>
      <c r="F7" s="264">
        <v>244604.0</v>
      </c>
      <c r="G7" s="269">
        <v>2.0</v>
      </c>
      <c r="H7" s="270" t="s">
        <v>267</v>
      </c>
      <c r="I7" s="182"/>
      <c r="J7" s="271" t="s">
        <v>270</v>
      </c>
      <c r="K7" s="164"/>
      <c r="L7" s="184"/>
      <c r="M7" s="184"/>
      <c r="N7" s="45"/>
    </row>
    <row r="8" ht="32.25" customHeight="1">
      <c r="A8" s="268">
        <v>503.0</v>
      </c>
      <c r="B8" s="261" t="s">
        <v>249</v>
      </c>
      <c r="C8" s="262" t="s">
        <v>265</v>
      </c>
      <c r="D8" s="261" t="s">
        <v>271</v>
      </c>
      <c r="E8" s="264">
        <v>244602.0</v>
      </c>
      <c r="F8" s="264">
        <v>244604.0</v>
      </c>
      <c r="G8" s="269">
        <v>2.0</v>
      </c>
      <c r="H8" s="270" t="s">
        <v>267</v>
      </c>
      <c r="I8" s="182"/>
      <c r="J8" s="241" t="s">
        <v>272</v>
      </c>
      <c r="K8" s="186"/>
      <c r="L8" s="184"/>
      <c r="M8" s="184"/>
      <c r="N8" s="45"/>
    </row>
    <row r="9" ht="32.25" customHeight="1">
      <c r="A9" s="268">
        <v>504.0</v>
      </c>
      <c r="B9" s="261" t="s">
        <v>249</v>
      </c>
      <c r="C9" s="262" t="s">
        <v>265</v>
      </c>
      <c r="D9" s="261" t="s">
        <v>273</v>
      </c>
      <c r="E9" s="264">
        <v>244602.0</v>
      </c>
      <c r="F9" s="264">
        <v>244604.0</v>
      </c>
      <c r="G9" s="269">
        <v>2.0</v>
      </c>
      <c r="H9" s="270" t="s">
        <v>267</v>
      </c>
      <c r="I9" s="182"/>
      <c r="J9" s="272" t="s">
        <v>274</v>
      </c>
      <c r="K9" s="186"/>
      <c r="L9" s="184"/>
      <c r="M9" s="184"/>
    </row>
    <row r="10" ht="32.25" customHeight="1">
      <c r="A10" s="268">
        <v>505.0</v>
      </c>
      <c r="B10" s="261" t="s">
        <v>249</v>
      </c>
      <c r="C10" s="262" t="s">
        <v>265</v>
      </c>
      <c r="D10" s="261" t="s">
        <v>275</v>
      </c>
      <c r="E10" s="264">
        <v>244602.0</v>
      </c>
      <c r="F10" s="264">
        <v>244604.0</v>
      </c>
      <c r="G10" s="269">
        <v>2.0</v>
      </c>
      <c r="H10" s="270" t="s">
        <v>267</v>
      </c>
      <c r="I10" s="182"/>
      <c r="J10" s="241" t="s">
        <v>276</v>
      </c>
      <c r="K10" s="182"/>
      <c r="L10" s="184"/>
      <c r="M10" s="184"/>
    </row>
    <row r="11" ht="32.25" customHeight="1">
      <c r="A11" s="273">
        <v>506.0</v>
      </c>
      <c r="B11" s="274" t="s">
        <v>249</v>
      </c>
      <c r="C11" s="273" t="s">
        <v>277</v>
      </c>
      <c r="D11" s="274" t="s">
        <v>278</v>
      </c>
      <c r="E11" s="275">
        <v>244603.0</v>
      </c>
      <c r="F11" s="275">
        <v>244604.0</v>
      </c>
      <c r="G11" s="276">
        <v>1.0</v>
      </c>
      <c r="H11" s="277" t="s">
        <v>267</v>
      </c>
      <c r="I11" s="182"/>
      <c r="J11" s="278" t="s">
        <v>279</v>
      </c>
      <c r="K11" s="182"/>
      <c r="L11" s="184"/>
      <c r="M11" s="184"/>
    </row>
    <row r="12" ht="32.25" customHeight="1">
      <c r="A12" s="279">
        <v>507.0</v>
      </c>
      <c r="B12" s="280" t="s">
        <v>54</v>
      </c>
      <c r="C12" s="281" t="s">
        <v>280</v>
      </c>
      <c r="D12" s="282"/>
      <c r="E12" s="283"/>
      <c r="F12" s="279"/>
      <c r="G12" s="284"/>
      <c r="H12" s="284"/>
      <c r="I12" s="182"/>
      <c r="J12" s="182"/>
      <c r="K12" s="182"/>
      <c r="L12" s="184"/>
      <c r="M12" s="184"/>
    </row>
    <row r="13" ht="32.25" customHeight="1">
      <c r="A13" s="178">
        <v>508.0</v>
      </c>
      <c r="B13" s="285" t="s">
        <v>254</v>
      </c>
      <c r="C13" s="286" t="s">
        <v>281</v>
      </c>
      <c r="D13" s="287" t="s">
        <v>267</v>
      </c>
      <c r="E13" s="287" t="s">
        <v>267</v>
      </c>
      <c r="F13" s="287" t="s">
        <v>267</v>
      </c>
      <c r="G13" s="181" t="s">
        <v>267</v>
      </c>
      <c r="H13" s="288" t="s">
        <v>267</v>
      </c>
      <c r="I13" s="182"/>
      <c r="J13" s="182"/>
      <c r="K13" s="182"/>
      <c r="L13" s="184"/>
      <c r="M13" s="184"/>
    </row>
    <row r="14" ht="32.25" customHeight="1">
      <c r="A14" s="178">
        <v>509.0</v>
      </c>
      <c r="B14" s="285" t="s">
        <v>255</v>
      </c>
      <c r="C14" s="286" t="s">
        <v>281</v>
      </c>
      <c r="D14" s="287" t="s">
        <v>267</v>
      </c>
      <c r="E14" s="287" t="s">
        <v>267</v>
      </c>
      <c r="F14" s="287" t="s">
        <v>267</v>
      </c>
      <c r="G14" s="287" t="s">
        <v>267</v>
      </c>
      <c r="H14" s="289" t="s">
        <v>267</v>
      </c>
      <c r="I14" s="182"/>
      <c r="J14" s="182"/>
      <c r="K14" s="182"/>
      <c r="L14" s="184"/>
      <c r="M14" s="184"/>
    </row>
    <row r="15" ht="32.25" customHeight="1">
      <c r="A15" s="268">
        <v>510.0</v>
      </c>
      <c r="B15" s="290" t="s">
        <v>254</v>
      </c>
      <c r="C15" s="268" t="s">
        <v>265</v>
      </c>
      <c r="D15" s="261" t="s">
        <v>282</v>
      </c>
      <c r="E15" s="264">
        <v>244601.0</v>
      </c>
      <c r="F15" s="264">
        <v>244604.0</v>
      </c>
      <c r="G15" s="269">
        <v>3.0</v>
      </c>
      <c r="H15" s="270" t="s">
        <v>267</v>
      </c>
      <c r="I15" s="182"/>
      <c r="J15" s="182"/>
      <c r="K15" s="182"/>
      <c r="L15" s="182"/>
      <c r="M15" s="184"/>
    </row>
    <row r="16" ht="32.25" customHeight="1">
      <c r="A16" s="268">
        <v>511.0</v>
      </c>
      <c r="B16" s="290" t="s">
        <v>254</v>
      </c>
      <c r="C16" s="268" t="s">
        <v>265</v>
      </c>
      <c r="D16" s="261" t="s">
        <v>283</v>
      </c>
      <c r="E16" s="264">
        <v>244601.0</v>
      </c>
      <c r="F16" s="264">
        <v>244604.0</v>
      </c>
      <c r="G16" s="269">
        <v>3.0</v>
      </c>
      <c r="H16" s="270" t="s">
        <v>267</v>
      </c>
      <c r="I16" s="182"/>
      <c r="J16" s="182"/>
      <c r="K16" s="182"/>
      <c r="L16" s="184"/>
      <c r="M16" s="182"/>
    </row>
    <row r="17" ht="32.25" customHeight="1">
      <c r="A17" s="268">
        <v>512.0</v>
      </c>
      <c r="B17" s="290" t="s">
        <v>254</v>
      </c>
      <c r="C17" s="268" t="s">
        <v>265</v>
      </c>
      <c r="D17" s="261" t="s">
        <v>284</v>
      </c>
      <c r="E17" s="264">
        <v>244596.0</v>
      </c>
      <c r="F17" s="264">
        <v>244606.0</v>
      </c>
      <c r="G17" s="269">
        <v>10.0</v>
      </c>
      <c r="H17" s="270" t="s">
        <v>267</v>
      </c>
      <c r="I17" s="182"/>
      <c r="J17" s="182"/>
      <c r="K17" s="182"/>
      <c r="L17" s="184"/>
      <c r="M17" s="182"/>
    </row>
    <row r="18" ht="32.25" customHeight="1">
      <c r="A18" s="268">
        <v>513.0</v>
      </c>
      <c r="B18" s="290" t="s">
        <v>254</v>
      </c>
      <c r="C18" s="268" t="s">
        <v>265</v>
      </c>
      <c r="D18" s="261" t="s">
        <v>285</v>
      </c>
      <c r="E18" s="264">
        <v>244597.0</v>
      </c>
      <c r="F18" s="264">
        <v>244604.0</v>
      </c>
      <c r="G18" s="269">
        <v>7.0</v>
      </c>
      <c r="H18" s="291" t="s">
        <v>267</v>
      </c>
      <c r="I18" s="196"/>
      <c r="J18" s="196"/>
      <c r="K18" s="196"/>
      <c r="L18" s="196"/>
      <c r="M18" s="196"/>
    </row>
    <row r="19" ht="32.25" customHeight="1">
      <c r="A19" s="178">
        <v>514.0</v>
      </c>
      <c r="B19" s="164" t="s">
        <v>254</v>
      </c>
      <c r="C19" s="27" t="s">
        <v>281</v>
      </c>
      <c r="D19" s="287" t="s">
        <v>267</v>
      </c>
      <c r="E19" s="287" t="s">
        <v>267</v>
      </c>
      <c r="F19" s="287" t="s">
        <v>267</v>
      </c>
      <c r="G19" s="181" t="s">
        <v>267</v>
      </c>
      <c r="H19" s="292" t="s">
        <v>267</v>
      </c>
      <c r="I19" s="196"/>
      <c r="J19" s="196"/>
      <c r="K19" s="197"/>
      <c r="L19" s="197"/>
      <c r="M19" s="197"/>
    </row>
    <row r="20" ht="32.25" customHeight="1">
      <c r="A20" s="178">
        <v>515.0</v>
      </c>
      <c r="B20" s="164" t="s">
        <v>254</v>
      </c>
      <c r="C20" s="27" t="s">
        <v>281</v>
      </c>
      <c r="D20" s="287" t="s">
        <v>267</v>
      </c>
      <c r="E20" s="287" t="s">
        <v>267</v>
      </c>
      <c r="F20" s="287" t="s">
        <v>267</v>
      </c>
      <c r="G20" s="181" t="s">
        <v>267</v>
      </c>
      <c r="H20" s="292" t="s">
        <v>267</v>
      </c>
      <c r="I20" s="196"/>
      <c r="J20" s="196"/>
      <c r="K20" s="196"/>
      <c r="L20" s="196"/>
      <c r="M20" s="196"/>
    </row>
    <row r="21" ht="32.25" customHeight="1">
      <c r="A21" s="268">
        <v>516.0</v>
      </c>
      <c r="B21" s="290" t="s">
        <v>254</v>
      </c>
      <c r="C21" s="268" t="s">
        <v>265</v>
      </c>
      <c r="D21" s="261" t="s">
        <v>286</v>
      </c>
      <c r="E21" s="264">
        <v>244600.0</v>
      </c>
      <c r="F21" s="264">
        <v>244604.0</v>
      </c>
      <c r="G21" s="269">
        <v>4.0</v>
      </c>
      <c r="H21" s="291" t="s">
        <v>267</v>
      </c>
      <c r="I21" s="202"/>
      <c r="J21" s="202"/>
      <c r="K21" s="165"/>
      <c r="L21" s="165"/>
      <c r="M21" s="165"/>
    </row>
    <row r="22" ht="32.25" customHeight="1">
      <c r="A22" s="178">
        <v>517.0</v>
      </c>
      <c r="B22" s="164" t="s">
        <v>254</v>
      </c>
      <c r="C22" s="27" t="s">
        <v>281</v>
      </c>
      <c r="D22" s="287" t="s">
        <v>267</v>
      </c>
      <c r="E22" s="287" t="s">
        <v>267</v>
      </c>
      <c r="F22" s="287" t="s">
        <v>267</v>
      </c>
      <c r="G22" s="287" t="s">
        <v>267</v>
      </c>
      <c r="H22" s="292" t="s">
        <v>267</v>
      </c>
      <c r="I22" s="202"/>
      <c r="J22" s="202"/>
      <c r="K22" s="165"/>
      <c r="L22" s="165"/>
      <c r="M22" s="165"/>
    </row>
    <row r="23" ht="32.25" customHeight="1">
      <c r="A23" s="293">
        <v>518.0</v>
      </c>
      <c r="B23" s="294" t="s">
        <v>54</v>
      </c>
      <c r="C23" s="293" t="s">
        <v>287</v>
      </c>
      <c r="D23" s="295" t="s">
        <v>267</v>
      </c>
      <c r="E23" s="295" t="s">
        <v>267</v>
      </c>
      <c r="F23" s="293" t="s">
        <v>267</v>
      </c>
      <c r="G23" s="293" t="s">
        <v>267</v>
      </c>
      <c r="H23" s="296" t="s">
        <v>288</v>
      </c>
      <c r="I23" s="202"/>
      <c r="J23" s="202"/>
      <c r="K23" s="165"/>
      <c r="L23" s="165"/>
      <c r="M23" s="165"/>
    </row>
    <row r="24" ht="32.25" customHeight="1">
      <c r="A24" s="178">
        <v>519.0</v>
      </c>
      <c r="B24" s="231" t="s">
        <v>249</v>
      </c>
      <c r="C24" s="27" t="s">
        <v>281</v>
      </c>
      <c r="D24" s="287" t="s">
        <v>267</v>
      </c>
      <c r="E24" s="287" t="s">
        <v>267</v>
      </c>
      <c r="F24" s="287" t="s">
        <v>267</v>
      </c>
      <c r="G24" s="287" t="s">
        <v>267</v>
      </c>
      <c r="H24" s="289" t="s">
        <v>267</v>
      </c>
      <c r="I24" s="202"/>
      <c r="J24" s="202"/>
      <c r="K24" s="165"/>
      <c r="L24" s="165"/>
      <c r="M24" s="165"/>
    </row>
    <row r="25" ht="32.25" customHeight="1">
      <c r="A25" s="246">
        <v>520.0</v>
      </c>
      <c r="B25" s="247" t="s">
        <v>249</v>
      </c>
      <c r="C25" s="38" t="s">
        <v>281</v>
      </c>
      <c r="D25" s="297" t="s">
        <v>267</v>
      </c>
      <c r="E25" s="297" t="s">
        <v>267</v>
      </c>
      <c r="F25" s="297" t="s">
        <v>267</v>
      </c>
      <c r="G25" s="297" t="s">
        <v>267</v>
      </c>
      <c r="H25" s="298" t="s">
        <v>267</v>
      </c>
      <c r="I25" s="202"/>
      <c r="J25" s="202"/>
      <c r="K25" s="165"/>
      <c r="L25" s="165"/>
      <c r="M25" s="165"/>
    </row>
    <row r="26" ht="32.25" customHeight="1">
      <c r="A26" s="178">
        <v>601.0</v>
      </c>
      <c r="B26" s="231" t="s">
        <v>249</v>
      </c>
      <c r="C26" s="175"/>
      <c r="D26" s="180"/>
      <c r="E26" s="180"/>
      <c r="F26" s="245"/>
      <c r="G26" s="178"/>
      <c r="H26" s="299"/>
      <c r="I26" s="202"/>
      <c r="J26" s="202"/>
      <c r="K26" s="165"/>
      <c r="L26" s="165"/>
      <c r="M26" s="165"/>
    </row>
    <row r="27" ht="32.25" customHeight="1">
      <c r="A27" s="178">
        <v>602.0</v>
      </c>
      <c r="B27" s="231" t="s">
        <v>249</v>
      </c>
      <c r="C27" s="175"/>
      <c r="D27" s="180"/>
      <c r="E27" s="180"/>
      <c r="F27" s="245"/>
      <c r="G27" s="178"/>
      <c r="H27" s="299"/>
      <c r="I27" s="202"/>
      <c r="J27" s="202"/>
      <c r="K27" s="165"/>
      <c r="L27" s="165"/>
      <c r="M27" s="165"/>
    </row>
    <row r="28" ht="32.25" customHeight="1">
      <c r="A28" s="178">
        <v>603.0</v>
      </c>
      <c r="B28" s="231" t="s">
        <v>249</v>
      </c>
      <c r="C28" s="175"/>
      <c r="D28" s="180"/>
      <c r="E28" s="180"/>
      <c r="F28" s="245"/>
      <c r="G28" s="178"/>
      <c r="H28" s="299"/>
      <c r="I28" s="202"/>
      <c r="J28" s="202"/>
      <c r="K28" s="165"/>
      <c r="L28" s="165"/>
      <c r="M28" s="165"/>
    </row>
    <row r="29" ht="32.25" customHeight="1">
      <c r="A29" s="178">
        <v>604.0</v>
      </c>
      <c r="B29" s="231" t="s">
        <v>249</v>
      </c>
      <c r="C29" s="175"/>
      <c r="D29" s="180"/>
      <c r="E29" s="180"/>
      <c r="F29" s="245"/>
      <c r="G29" s="178"/>
      <c r="H29" s="299"/>
      <c r="I29" s="202"/>
      <c r="J29" s="202"/>
      <c r="K29" s="165"/>
      <c r="L29" s="165"/>
      <c r="M29" s="165"/>
    </row>
    <row r="30" ht="32.25" customHeight="1">
      <c r="A30" s="178">
        <v>605.0</v>
      </c>
      <c r="B30" s="231" t="s">
        <v>249</v>
      </c>
      <c r="C30" s="175"/>
      <c r="D30" s="180"/>
      <c r="E30" s="180"/>
      <c r="F30" s="245"/>
      <c r="G30" s="178"/>
      <c r="H30" s="299"/>
      <c r="I30" s="202"/>
      <c r="J30" s="202"/>
      <c r="K30" s="165"/>
      <c r="L30" s="165"/>
      <c r="M30" s="165"/>
    </row>
    <row r="31" ht="32.25" customHeight="1">
      <c r="A31" s="178">
        <v>606.0</v>
      </c>
      <c r="B31" s="231" t="s">
        <v>249</v>
      </c>
      <c r="C31" s="175"/>
      <c r="D31" s="180"/>
      <c r="E31" s="180"/>
      <c r="F31" s="245"/>
      <c r="G31" s="178"/>
      <c r="H31" s="299"/>
      <c r="I31" s="202"/>
      <c r="J31" s="202"/>
      <c r="K31" s="165"/>
      <c r="L31" s="165"/>
      <c r="M31" s="165"/>
    </row>
    <row r="32" ht="32.25" customHeight="1">
      <c r="A32" s="178">
        <v>607.0</v>
      </c>
      <c r="B32" s="164" t="s">
        <v>54</v>
      </c>
      <c r="C32" s="175" t="s">
        <v>281</v>
      </c>
      <c r="D32" s="287" t="s">
        <v>267</v>
      </c>
      <c r="E32" s="287" t="s">
        <v>267</v>
      </c>
      <c r="F32" s="178" t="s">
        <v>267</v>
      </c>
      <c r="G32" s="178" t="s">
        <v>267</v>
      </c>
      <c r="H32" s="292" t="s">
        <v>267</v>
      </c>
      <c r="I32" s="202"/>
      <c r="J32" s="202"/>
      <c r="K32" s="165"/>
      <c r="L32" s="165"/>
      <c r="M32" s="165"/>
    </row>
    <row r="33" ht="32.25" customHeight="1">
      <c r="A33" s="178">
        <v>608.0</v>
      </c>
      <c r="B33" s="164" t="s">
        <v>254</v>
      </c>
      <c r="C33" s="175"/>
      <c r="D33" s="180"/>
      <c r="E33" s="180"/>
      <c r="F33" s="245"/>
      <c r="G33" s="178"/>
      <c r="H33" s="299"/>
      <c r="I33" s="202"/>
      <c r="J33" s="202"/>
      <c r="K33" s="165"/>
      <c r="L33" s="165"/>
      <c r="M33" s="165"/>
    </row>
    <row r="34" ht="32.25" customHeight="1">
      <c r="A34" s="178">
        <v>609.0</v>
      </c>
      <c r="B34" s="164" t="s">
        <v>255</v>
      </c>
      <c r="C34" s="27"/>
      <c r="D34" s="180"/>
      <c r="E34" s="180"/>
      <c r="F34" s="245"/>
      <c r="G34" s="178"/>
      <c r="H34" s="299"/>
      <c r="I34" s="202"/>
      <c r="J34" s="202"/>
      <c r="K34" s="165"/>
      <c r="L34" s="165"/>
      <c r="M34" s="165"/>
    </row>
    <row r="35" ht="32.25" customHeight="1">
      <c r="A35" s="178">
        <v>610.0</v>
      </c>
      <c r="B35" s="164" t="s">
        <v>254</v>
      </c>
      <c r="C35" s="175"/>
      <c r="D35" s="180"/>
      <c r="E35" s="180"/>
      <c r="F35" s="245"/>
      <c r="G35" s="178"/>
      <c r="H35" s="299"/>
      <c r="I35" s="202"/>
      <c r="J35" s="202"/>
      <c r="K35" s="165"/>
      <c r="L35" s="165"/>
      <c r="M35" s="165"/>
    </row>
    <row r="36" ht="32.25" customHeight="1">
      <c r="A36" s="178">
        <v>611.0</v>
      </c>
      <c r="B36" s="164" t="s">
        <v>254</v>
      </c>
      <c r="C36" s="175"/>
      <c r="D36" s="180"/>
      <c r="E36" s="180"/>
      <c r="F36" s="245"/>
      <c r="G36" s="178"/>
      <c r="H36" s="299"/>
      <c r="I36" s="202"/>
      <c r="J36" s="202"/>
      <c r="K36" s="165"/>
      <c r="L36" s="165"/>
      <c r="M36" s="165"/>
    </row>
    <row r="37" ht="32.25" customHeight="1">
      <c r="A37" s="178">
        <v>612.0</v>
      </c>
      <c r="B37" s="164" t="s">
        <v>254</v>
      </c>
      <c r="C37" s="175"/>
      <c r="D37" s="180"/>
      <c r="E37" s="180"/>
      <c r="F37" s="245"/>
      <c r="G37" s="178"/>
      <c r="H37" s="299"/>
      <c r="I37" s="202"/>
      <c r="J37" s="202"/>
      <c r="K37" s="165"/>
      <c r="L37" s="165"/>
      <c r="M37" s="165"/>
    </row>
    <row r="38" ht="32.25" customHeight="1">
      <c r="A38" s="293">
        <v>613.0</v>
      </c>
      <c r="B38" s="294" t="s">
        <v>254</v>
      </c>
      <c r="C38" s="295" t="s">
        <v>287</v>
      </c>
      <c r="D38" s="295" t="s">
        <v>267</v>
      </c>
      <c r="E38" s="295" t="s">
        <v>267</v>
      </c>
      <c r="F38" s="293" t="s">
        <v>267</v>
      </c>
      <c r="G38" s="293" t="s">
        <v>267</v>
      </c>
      <c r="H38" s="296" t="s">
        <v>289</v>
      </c>
      <c r="I38" s="202"/>
      <c r="J38" s="202"/>
      <c r="K38" s="165"/>
      <c r="L38" s="165"/>
      <c r="M38" s="165"/>
    </row>
    <row r="39" ht="32.25" customHeight="1">
      <c r="A39" s="178">
        <v>614.0</v>
      </c>
      <c r="B39" s="164" t="s">
        <v>254</v>
      </c>
      <c r="C39" s="175"/>
      <c r="D39" s="180"/>
      <c r="E39" s="180"/>
      <c r="F39" s="245"/>
      <c r="G39" s="178"/>
      <c r="H39" s="299"/>
      <c r="I39" s="202"/>
      <c r="J39" s="202"/>
      <c r="K39" s="165"/>
      <c r="L39" s="165"/>
      <c r="M39" s="165"/>
    </row>
    <row r="40" ht="32.25" customHeight="1">
      <c r="A40" s="178">
        <v>615.0</v>
      </c>
      <c r="B40" s="164" t="s">
        <v>254</v>
      </c>
      <c r="C40" s="175"/>
      <c r="D40" s="180"/>
      <c r="E40" s="180"/>
      <c r="F40" s="245"/>
      <c r="G40" s="178"/>
      <c r="H40" s="299"/>
      <c r="I40" s="202"/>
      <c r="J40" s="202"/>
      <c r="K40" s="165"/>
      <c r="L40" s="165"/>
      <c r="M40" s="165"/>
    </row>
    <row r="41" ht="32.25" customHeight="1">
      <c r="A41" s="178">
        <v>616.0</v>
      </c>
      <c r="B41" s="164" t="s">
        <v>254</v>
      </c>
      <c r="C41" s="175"/>
      <c r="D41" s="180"/>
      <c r="E41" s="180"/>
      <c r="F41" s="245"/>
      <c r="G41" s="178"/>
      <c r="H41" s="299"/>
      <c r="I41" s="202"/>
      <c r="J41" s="202"/>
      <c r="K41" s="165"/>
      <c r="L41" s="165"/>
      <c r="M41" s="165"/>
    </row>
    <row r="42" ht="32.25" customHeight="1">
      <c r="A42" s="178">
        <v>617.0</v>
      </c>
      <c r="B42" s="164" t="s">
        <v>254</v>
      </c>
      <c r="C42" s="175"/>
      <c r="D42" s="180"/>
      <c r="E42" s="180"/>
      <c r="F42" s="245"/>
      <c r="G42" s="178"/>
      <c r="H42" s="299"/>
      <c r="I42" s="202"/>
      <c r="J42" s="202"/>
      <c r="K42" s="165"/>
      <c r="L42" s="165"/>
      <c r="M42" s="165"/>
    </row>
    <row r="43" ht="32.25" customHeight="1">
      <c r="A43" s="268">
        <v>618.0</v>
      </c>
      <c r="B43" s="290" t="s">
        <v>54</v>
      </c>
      <c r="C43" s="262" t="s">
        <v>265</v>
      </c>
      <c r="D43" s="264"/>
      <c r="E43" s="264"/>
      <c r="F43" s="300"/>
      <c r="G43" s="268"/>
      <c r="H43" s="301"/>
      <c r="I43" s="202"/>
      <c r="J43" s="202"/>
      <c r="K43" s="165"/>
      <c r="L43" s="165"/>
      <c r="M43" s="165"/>
    </row>
    <row r="44" ht="32.25" customHeight="1">
      <c r="A44" s="178">
        <v>619.0</v>
      </c>
      <c r="B44" s="231" t="s">
        <v>249</v>
      </c>
      <c r="C44" s="175"/>
      <c r="D44" s="180"/>
      <c r="E44" s="180"/>
      <c r="F44" s="245"/>
      <c r="G44" s="178"/>
      <c r="H44" s="299"/>
      <c r="I44" s="202"/>
      <c r="J44" s="202"/>
      <c r="K44" s="165"/>
      <c r="L44" s="165"/>
      <c r="M44" s="165"/>
    </row>
    <row r="45" ht="32.25" customHeight="1">
      <c r="A45" s="246">
        <v>620.0</v>
      </c>
      <c r="B45" s="247" t="s">
        <v>249</v>
      </c>
      <c r="C45" s="302"/>
      <c r="D45" s="249"/>
      <c r="E45" s="249"/>
      <c r="F45" s="249"/>
      <c r="G45" s="246"/>
      <c r="H45" s="303"/>
      <c r="I45" s="202"/>
      <c r="J45" s="202"/>
      <c r="K45" s="165"/>
      <c r="L45" s="165"/>
      <c r="M45" s="165"/>
    </row>
    <row r="46" ht="32.25" customHeight="1">
      <c r="A46" s="178">
        <v>701.0</v>
      </c>
      <c r="B46" s="231" t="s">
        <v>249</v>
      </c>
      <c r="C46" s="175"/>
      <c r="D46" s="180"/>
      <c r="E46" s="180"/>
      <c r="F46" s="180"/>
      <c r="G46" s="178"/>
      <c r="H46" s="299"/>
      <c r="I46" s="202"/>
      <c r="J46" s="202"/>
      <c r="K46" s="165"/>
      <c r="L46" s="165"/>
      <c r="M46" s="165"/>
    </row>
    <row r="47" ht="32.25" customHeight="1">
      <c r="A47" s="178">
        <v>702.0</v>
      </c>
      <c r="B47" s="231" t="s">
        <v>249</v>
      </c>
      <c r="C47" s="175"/>
      <c r="D47" s="180"/>
      <c r="E47" s="180"/>
      <c r="F47" s="180"/>
      <c r="G47" s="178"/>
      <c r="H47" s="299"/>
      <c r="I47" s="202"/>
      <c r="J47" s="202"/>
      <c r="K47" s="165"/>
      <c r="L47" s="165"/>
      <c r="M47" s="165"/>
    </row>
    <row r="48" ht="32.25" customHeight="1">
      <c r="A48" s="178">
        <v>703.0</v>
      </c>
      <c r="B48" s="231" t="s">
        <v>249</v>
      </c>
      <c r="C48" s="27"/>
      <c r="D48" s="180"/>
      <c r="E48" s="180"/>
      <c r="F48" s="180"/>
      <c r="G48" s="178"/>
      <c r="H48" s="299"/>
      <c r="I48" s="202"/>
      <c r="J48" s="202"/>
      <c r="K48" s="165"/>
      <c r="L48" s="165"/>
      <c r="M48" s="165"/>
    </row>
    <row r="49" ht="32.25" customHeight="1">
      <c r="A49" s="178">
        <v>704.0</v>
      </c>
      <c r="B49" s="231" t="s">
        <v>249</v>
      </c>
      <c r="C49" s="27"/>
      <c r="D49" s="180"/>
      <c r="E49" s="180"/>
      <c r="F49" s="245"/>
      <c r="G49" s="178"/>
      <c r="H49" s="299"/>
      <c r="I49" s="202"/>
      <c r="J49" s="202"/>
      <c r="K49" s="165"/>
      <c r="L49" s="165"/>
      <c r="M49" s="165"/>
    </row>
    <row r="50" ht="32.25" customHeight="1">
      <c r="A50" s="178">
        <v>705.0</v>
      </c>
      <c r="B50" s="231" t="s">
        <v>249</v>
      </c>
      <c r="C50" s="27"/>
      <c r="D50" s="180"/>
      <c r="E50" s="180"/>
      <c r="F50" s="245"/>
      <c r="G50" s="178"/>
      <c r="H50" s="299"/>
      <c r="I50" s="202"/>
      <c r="J50" s="202"/>
      <c r="K50" s="165"/>
      <c r="L50" s="165"/>
      <c r="M50" s="165"/>
    </row>
    <row r="51" ht="32.25" customHeight="1">
      <c r="A51" s="178">
        <v>706.0</v>
      </c>
      <c r="B51" s="231" t="s">
        <v>249</v>
      </c>
      <c r="C51" s="27"/>
      <c r="D51" s="180"/>
      <c r="E51" s="180"/>
      <c r="F51" s="245"/>
      <c r="G51" s="178"/>
      <c r="H51" s="299"/>
      <c r="I51" s="202"/>
      <c r="J51" s="202"/>
      <c r="K51" s="165"/>
      <c r="L51" s="165"/>
      <c r="M51" s="165"/>
    </row>
    <row r="52" ht="32.25" customHeight="1">
      <c r="A52" s="178">
        <v>707.0</v>
      </c>
      <c r="B52" s="164" t="s">
        <v>54</v>
      </c>
      <c r="C52" s="27" t="s">
        <v>281</v>
      </c>
      <c r="D52" s="287" t="s">
        <v>267</v>
      </c>
      <c r="E52" s="287" t="s">
        <v>267</v>
      </c>
      <c r="F52" s="287" t="s">
        <v>267</v>
      </c>
      <c r="G52" s="287" t="s">
        <v>267</v>
      </c>
      <c r="H52" s="289" t="s">
        <v>267</v>
      </c>
      <c r="I52" s="202"/>
      <c r="J52" s="202"/>
      <c r="K52" s="165"/>
      <c r="L52" s="165"/>
      <c r="M52" s="165"/>
    </row>
    <row r="53" ht="32.25" customHeight="1">
      <c r="A53" s="178">
        <v>708.0</v>
      </c>
      <c r="B53" s="164" t="s">
        <v>254</v>
      </c>
      <c r="C53" s="27"/>
      <c r="D53" s="180"/>
      <c r="E53" s="180"/>
      <c r="F53" s="245"/>
      <c r="G53" s="178"/>
      <c r="H53" s="299"/>
      <c r="I53" s="202"/>
      <c r="J53" s="202"/>
      <c r="K53" s="165"/>
      <c r="L53" s="165"/>
      <c r="M53" s="165"/>
    </row>
    <row r="54" ht="32.25" customHeight="1">
      <c r="A54" s="178">
        <v>709.0</v>
      </c>
      <c r="B54" s="164" t="s">
        <v>255</v>
      </c>
      <c r="C54" s="175"/>
      <c r="D54" s="180"/>
      <c r="E54" s="180"/>
      <c r="F54" s="245"/>
      <c r="G54" s="178"/>
      <c r="H54" s="299"/>
      <c r="I54" s="202"/>
      <c r="J54" s="202"/>
      <c r="K54" s="165"/>
      <c r="L54" s="165"/>
      <c r="M54" s="165"/>
    </row>
    <row r="55" ht="32.25" customHeight="1">
      <c r="A55" s="178">
        <v>710.0</v>
      </c>
      <c r="B55" s="164" t="s">
        <v>254</v>
      </c>
      <c r="C55" s="175"/>
      <c r="D55" s="180"/>
      <c r="E55" s="180"/>
      <c r="F55" s="245"/>
      <c r="G55" s="178"/>
      <c r="H55" s="299"/>
      <c r="I55" s="202"/>
      <c r="J55" s="202"/>
      <c r="K55" s="165"/>
      <c r="L55" s="165"/>
      <c r="M55" s="165"/>
    </row>
    <row r="56" ht="32.25" customHeight="1">
      <c r="A56" s="178">
        <v>711.0</v>
      </c>
      <c r="B56" s="164" t="s">
        <v>254</v>
      </c>
      <c r="C56" s="175"/>
      <c r="D56" s="180"/>
      <c r="E56" s="180"/>
      <c r="F56" s="245"/>
      <c r="G56" s="178"/>
      <c r="H56" s="299"/>
      <c r="I56" s="202"/>
      <c r="J56" s="202"/>
      <c r="K56" s="165"/>
      <c r="L56" s="165"/>
      <c r="M56" s="165"/>
    </row>
    <row r="57" ht="32.25" customHeight="1">
      <c r="A57" s="178">
        <v>712.0</v>
      </c>
      <c r="B57" s="164" t="s">
        <v>254</v>
      </c>
      <c r="C57" s="175"/>
      <c r="D57" s="180"/>
      <c r="E57" s="180"/>
      <c r="F57" s="245"/>
      <c r="G57" s="178"/>
      <c r="H57" s="299"/>
      <c r="I57" s="202"/>
      <c r="J57" s="202"/>
      <c r="K57" s="165"/>
      <c r="L57" s="165"/>
      <c r="M57" s="165"/>
    </row>
    <row r="58" ht="32.25" customHeight="1">
      <c r="A58" s="178">
        <v>713.0</v>
      </c>
      <c r="B58" s="164" t="s">
        <v>254</v>
      </c>
      <c r="C58" s="175"/>
      <c r="D58" s="180"/>
      <c r="E58" s="180"/>
      <c r="F58" s="245"/>
      <c r="G58" s="178"/>
      <c r="H58" s="299"/>
      <c r="I58" s="202"/>
      <c r="J58" s="202"/>
      <c r="K58" s="165"/>
      <c r="L58" s="165"/>
      <c r="M58" s="165"/>
    </row>
    <row r="59" ht="32.25" customHeight="1">
      <c r="A59" s="178">
        <v>714.0</v>
      </c>
      <c r="B59" s="164" t="s">
        <v>254</v>
      </c>
      <c r="C59" s="175"/>
      <c r="D59" s="180"/>
      <c r="E59" s="180"/>
      <c r="F59" s="245"/>
      <c r="G59" s="178"/>
      <c r="H59" s="299"/>
      <c r="I59" s="202"/>
      <c r="J59" s="202"/>
      <c r="K59" s="165"/>
      <c r="L59" s="165"/>
      <c r="M59" s="165"/>
    </row>
    <row r="60" ht="32.25" customHeight="1">
      <c r="A60" s="178">
        <v>715.0</v>
      </c>
      <c r="B60" s="164" t="s">
        <v>254</v>
      </c>
      <c r="C60" s="175"/>
      <c r="D60" s="180"/>
      <c r="E60" s="180"/>
      <c r="F60" s="245"/>
      <c r="G60" s="178"/>
      <c r="H60" s="299"/>
      <c r="I60" s="202"/>
      <c r="J60" s="202"/>
      <c r="K60" s="165"/>
      <c r="L60" s="165"/>
      <c r="M60" s="165"/>
    </row>
    <row r="61" ht="32.25" customHeight="1">
      <c r="A61" s="178">
        <v>716.0</v>
      </c>
      <c r="B61" s="164" t="s">
        <v>254</v>
      </c>
      <c r="C61" s="175"/>
      <c r="D61" s="180"/>
      <c r="E61" s="180"/>
      <c r="F61" s="245"/>
      <c r="G61" s="178"/>
      <c r="H61" s="299"/>
      <c r="I61" s="202"/>
      <c r="J61" s="202"/>
      <c r="K61" s="165"/>
      <c r="L61" s="165"/>
      <c r="M61" s="165"/>
    </row>
    <row r="62" ht="32.25" customHeight="1">
      <c r="A62" s="178">
        <v>717.0</v>
      </c>
      <c r="B62" s="164" t="s">
        <v>254</v>
      </c>
      <c r="C62" s="175"/>
      <c r="D62" s="180"/>
      <c r="E62" s="180"/>
      <c r="F62" s="245"/>
      <c r="G62" s="178"/>
      <c r="H62" s="299"/>
      <c r="I62" s="202"/>
      <c r="J62" s="202"/>
      <c r="K62" s="165"/>
      <c r="L62" s="165"/>
      <c r="M62" s="165"/>
    </row>
    <row r="63" ht="32.25" customHeight="1">
      <c r="A63" s="178">
        <v>718.0</v>
      </c>
      <c r="B63" s="164" t="s">
        <v>54</v>
      </c>
      <c r="C63" s="175" t="s">
        <v>281</v>
      </c>
      <c r="D63" s="287" t="s">
        <v>267</v>
      </c>
      <c r="E63" s="287" t="s">
        <v>267</v>
      </c>
      <c r="F63" s="178" t="s">
        <v>267</v>
      </c>
      <c r="G63" s="178" t="s">
        <v>267</v>
      </c>
      <c r="H63" s="292" t="s">
        <v>267</v>
      </c>
      <c r="I63" s="202"/>
      <c r="J63" s="202"/>
      <c r="K63" s="165"/>
      <c r="L63" s="165"/>
      <c r="M63" s="165"/>
    </row>
    <row r="64" ht="32.25" customHeight="1">
      <c r="A64" s="178">
        <v>719.0</v>
      </c>
      <c r="B64" s="231" t="s">
        <v>249</v>
      </c>
      <c r="C64" s="175"/>
      <c r="D64" s="180"/>
      <c r="E64" s="180"/>
      <c r="F64" s="245"/>
      <c r="G64" s="178"/>
      <c r="H64" s="299"/>
      <c r="I64" s="202"/>
      <c r="J64" s="202"/>
      <c r="K64" s="165"/>
      <c r="L64" s="165"/>
      <c r="M64" s="165"/>
    </row>
    <row r="65" ht="32.25" customHeight="1">
      <c r="A65" s="246">
        <v>720.0</v>
      </c>
      <c r="B65" s="247" t="s">
        <v>249</v>
      </c>
      <c r="C65" s="302" t="s">
        <v>281</v>
      </c>
      <c r="D65" s="249"/>
      <c r="E65" s="249">
        <v>244593.0</v>
      </c>
      <c r="F65" s="250">
        <v>244623.0</v>
      </c>
      <c r="G65" s="246">
        <v>30.0</v>
      </c>
      <c r="H65" s="303"/>
      <c r="I65" s="202"/>
      <c r="J65" s="202"/>
      <c r="K65" s="165"/>
      <c r="L65" s="165"/>
      <c r="M65" s="165"/>
    </row>
    <row r="66" ht="32.25" customHeight="1">
      <c r="A66" s="268">
        <v>801.0</v>
      </c>
      <c r="B66" s="261" t="s">
        <v>256</v>
      </c>
      <c r="C66" s="262" t="s">
        <v>265</v>
      </c>
      <c r="D66" s="264"/>
      <c r="E66" s="264">
        <v>244601.0</v>
      </c>
      <c r="F66" s="300">
        <v>244607.0</v>
      </c>
      <c r="G66" s="268">
        <v>6.0</v>
      </c>
      <c r="H66" s="301"/>
      <c r="I66" s="202"/>
      <c r="J66" s="202"/>
      <c r="K66" s="165"/>
      <c r="L66" s="165"/>
      <c r="M66" s="165"/>
    </row>
    <row r="67" ht="32.25" customHeight="1">
      <c r="A67" s="268">
        <v>802.0</v>
      </c>
      <c r="B67" s="261" t="s">
        <v>256</v>
      </c>
      <c r="C67" s="262" t="s">
        <v>265</v>
      </c>
      <c r="D67" s="264"/>
      <c r="E67" s="264">
        <v>244599.0</v>
      </c>
      <c r="F67" s="300">
        <v>244606.0</v>
      </c>
      <c r="G67" s="268">
        <v>7.0</v>
      </c>
      <c r="H67" s="301"/>
      <c r="I67" s="202"/>
      <c r="J67" s="202"/>
      <c r="K67" s="165"/>
      <c r="L67" s="165"/>
      <c r="M67" s="165"/>
    </row>
    <row r="68" ht="32.25" customHeight="1">
      <c r="A68" s="268">
        <v>803.0</v>
      </c>
      <c r="B68" s="261" t="s">
        <v>256</v>
      </c>
      <c r="C68" s="262" t="s">
        <v>265</v>
      </c>
      <c r="D68" s="264"/>
      <c r="E68" s="264">
        <v>244599.0</v>
      </c>
      <c r="F68" s="300">
        <v>244605.0</v>
      </c>
      <c r="G68" s="268">
        <v>6.0</v>
      </c>
      <c r="H68" s="301"/>
      <c r="I68" s="202"/>
      <c r="J68" s="202"/>
      <c r="K68" s="165"/>
      <c r="L68" s="165"/>
      <c r="M68" s="165"/>
    </row>
    <row r="69" ht="32.25" customHeight="1">
      <c r="A69" s="268">
        <v>804.0</v>
      </c>
      <c r="B69" s="261" t="s">
        <v>256</v>
      </c>
      <c r="C69" s="262" t="s">
        <v>265</v>
      </c>
      <c r="D69" s="264"/>
      <c r="E69" s="264">
        <v>244600.0</v>
      </c>
      <c r="F69" s="300">
        <v>244605.0</v>
      </c>
      <c r="G69" s="268">
        <v>5.0</v>
      </c>
      <c r="H69" s="301"/>
      <c r="I69" s="202"/>
      <c r="J69" s="202"/>
      <c r="K69" s="165"/>
      <c r="L69" s="165"/>
      <c r="M69" s="165"/>
    </row>
    <row r="70" ht="32.25" customHeight="1">
      <c r="A70" s="268">
        <v>805.0</v>
      </c>
      <c r="B70" s="261" t="s">
        <v>256</v>
      </c>
      <c r="C70" s="262" t="s">
        <v>265</v>
      </c>
      <c r="D70" s="264"/>
      <c r="E70" s="264">
        <v>244600.0</v>
      </c>
      <c r="F70" s="300">
        <v>244605.0</v>
      </c>
      <c r="G70" s="268">
        <v>5.0</v>
      </c>
      <c r="H70" s="301"/>
      <c r="I70" s="202"/>
      <c r="J70" s="202"/>
      <c r="K70" s="165"/>
      <c r="L70" s="165"/>
      <c r="M70" s="165"/>
    </row>
    <row r="71" ht="32.25" customHeight="1">
      <c r="A71" s="178">
        <v>806.0</v>
      </c>
      <c r="B71" s="231" t="s">
        <v>256</v>
      </c>
      <c r="C71" s="175" t="s">
        <v>281</v>
      </c>
      <c r="D71" s="287" t="s">
        <v>267</v>
      </c>
      <c r="E71" s="287" t="s">
        <v>267</v>
      </c>
      <c r="F71" s="287" t="s">
        <v>267</v>
      </c>
      <c r="G71" s="287" t="s">
        <v>267</v>
      </c>
      <c r="H71" s="289" t="s">
        <v>267</v>
      </c>
      <c r="I71" s="202"/>
      <c r="J71" s="202"/>
      <c r="K71" s="165"/>
      <c r="L71" s="165"/>
      <c r="M71" s="165"/>
    </row>
    <row r="72" ht="32.25" customHeight="1">
      <c r="A72" s="178">
        <v>807.0</v>
      </c>
      <c r="B72" s="164" t="s">
        <v>54</v>
      </c>
      <c r="C72" s="183" t="s">
        <v>281</v>
      </c>
      <c r="D72" s="287" t="s">
        <v>267</v>
      </c>
      <c r="E72" s="287" t="s">
        <v>267</v>
      </c>
      <c r="F72" s="287" t="s">
        <v>267</v>
      </c>
      <c r="G72" s="287" t="s">
        <v>267</v>
      </c>
      <c r="H72" s="289" t="s">
        <v>267</v>
      </c>
      <c r="I72" s="202"/>
      <c r="J72" s="202"/>
      <c r="K72" s="165"/>
      <c r="L72" s="165"/>
      <c r="M72" s="165"/>
    </row>
    <row r="73" ht="32.25" customHeight="1">
      <c r="A73" s="178">
        <v>808.0</v>
      </c>
      <c r="B73" s="164" t="s">
        <v>257</v>
      </c>
      <c r="C73" s="183"/>
      <c r="D73" s="180"/>
      <c r="E73" s="180"/>
      <c r="F73" s="245"/>
      <c r="G73" s="178"/>
      <c r="H73" s="299"/>
      <c r="I73" s="202"/>
      <c r="J73" s="202"/>
      <c r="K73" s="165"/>
      <c r="L73" s="165"/>
      <c r="M73" s="165"/>
    </row>
    <row r="74" ht="32.25" customHeight="1">
      <c r="A74" s="178">
        <v>809.0</v>
      </c>
      <c r="B74" s="164" t="s">
        <v>255</v>
      </c>
      <c r="C74" s="183"/>
      <c r="D74" s="180"/>
      <c r="E74" s="180"/>
      <c r="F74" s="245"/>
      <c r="G74" s="178"/>
      <c r="H74" s="299"/>
      <c r="I74" s="202"/>
      <c r="J74" s="202"/>
      <c r="K74" s="165"/>
      <c r="L74" s="165"/>
      <c r="M74" s="165"/>
    </row>
    <row r="75" ht="32.25" customHeight="1">
      <c r="A75" s="178">
        <v>810.0</v>
      </c>
      <c r="B75" s="164" t="s">
        <v>257</v>
      </c>
      <c r="C75" s="183"/>
      <c r="D75" s="180"/>
      <c r="E75" s="180"/>
      <c r="F75" s="245"/>
      <c r="G75" s="178"/>
      <c r="H75" s="299"/>
      <c r="I75" s="202"/>
      <c r="J75" s="202"/>
      <c r="K75" s="165"/>
      <c r="L75" s="165"/>
      <c r="M75" s="165"/>
    </row>
    <row r="76" ht="32.25" customHeight="1">
      <c r="A76" s="178">
        <v>811.0</v>
      </c>
      <c r="B76" s="164" t="s">
        <v>257</v>
      </c>
      <c r="C76" s="183"/>
      <c r="D76" s="180"/>
      <c r="E76" s="180"/>
      <c r="F76" s="245"/>
      <c r="G76" s="178"/>
      <c r="H76" s="299"/>
      <c r="I76" s="202"/>
      <c r="J76" s="202"/>
      <c r="K76" s="165"/>
      <c r="L76" s="165"/>
      <c r="M76" s="165"/>
    </row>
    <row r="77" ht="32.25" customHeight="1">
      <c r="A77" s="178">
        <v>812.0</v>
      </c>
      <c r="B77" s="164" t="s">
        <v>257</v>
      </c>
      <c r="C77" s="175"/>
      <c r="D77" s="180"/>
      <c r="E77" s="180"/>
      <c r="F77" s="245"/>
      <c r="G77" s="178"/>
      <c r="H77" s="299"/>
      <c r="I77" s="202"/>
      <c r="J77" s="202"/>
      <c r="K77" s="165"/>
      <c r="L77" s="165"/>
      <c r="M77" s="165"/>
    </row>
    <row r="78" ht="32.25" customHeight="1">
      <c r="A78" s="178">
        <v>813.0</v>
      </c>
      <c r="B78" s="164" t="s">
        <v>257</v>
      </c>
      <c r="C78" s="175"/>
      <c r="D78" s="180"/>
      <c r="E78" s="180"/>
      <c r="F78" s="245"/>
      <c r="G78" s="178"/>
      <c r="H78" s="299"/>
      <c r="I78" s="202"/>
      <c r="J78" s="202"/>
      <c r="K78" s="165"/>
      <c r="L78" s="165"/>
      <c r="M78" s="165"/>
    </row>
    <row r="79" ht="32.25" customHeight="1">
      <c r="A79" s="178">
        <v>814.0</v>
      </c>
      <c r="B79" s="164" t="s">
        <v>257</v>
      </c>
      <c r="C79" s="175"/>
      <c r="D79" s="180"/>
      <c r="E79" s="180"/>
      <c r="F79" s="245"/>
      <c r="G79" s="178"/>
      <c r="H79" s="299"/>
      <c r="I79" s="202"/>
      <c r="J79" s="202"/>
      <c r="K79" s="165"/>
      <c r="L79" s="165"/>
      <c r="M79" s="165"/>
    </row>
    <row r="80" ht="32.25" customHeight="1">
      <c r="A80" s="178">
        <v>815.0</v>
      </c>
      <c r="B80" s="164" t="s">
        <v>257</v>
      </c>
      <c r="C80" s="175"/>
      <c r="D80" s="180"/>
      <c r="E80" s="180"/>
      <c r="F80" s="245"/>
      <c r="G80" s="178"/>
      <c r="H80" s="299"/>
      <c r="I80" s="202"/>
      <c r="J80" s="202"/>
      <c r="K80" s="165"/>
      <c r="L80" s="165"/>
      <c r="M80" s="165"/>
    </row>
    <row r="81" ht="32.25" customHeight="1">
      <c r="A81" s="178">
        <v>816.0</v>
      </c>
      <c r="B81" s="164" t="s">
        <v>257</v>
      </c>
      <c r="C81" s="175"/>
      <c r="D81" s="180"/>
      <c r="E81" s="180"/>
      <c r="F81" s="245"/>
      <c r="G81" s="178"/>
      <c r="H81" s="299"/>
      <c r="I81" s="202"/>
      <c r="J81" s="202"/>
      <c r="K81" s="165"/>
      <c r="L81" s="165"/>
      <c r="M81" s="165"/>
    </row>
    <row r="82" ht="32.25" customHeight="1">
      <c r="A82" s="279">
        <v>817.0</v>
      </c>
      <c r="B82" s="280" t="s">
        <v>257</v>
      </c>
      <c r="C82" s="281" t="s">
        <v>280</v>
      </c>
      <c r="D82" s="282"/>
      <c r="E82" s="282"/>
      <c r="F82" s="283"/>
      <c r="G82" s="279"/>
      <c r="H82" s="304"/>
      <c r="I82" s="202"/>
      <c r="J82" s="202"/>
      <c r="K82" s="165"/>
      <c r="L82" s="165"/>
      <c r="M82" s="165"/>
    </row>
    <row r="83" ht="32.25" customHeight="1">
      <c r="A83" s="178">
        <v>818.0</v>
      </c>
      <c r="B83" s="231" t="s">
        <v>54</v>
      </c>
      <c r="C83" s="175" t="s">
        <v>281</v>
      </c>
      <c r="D83" s="287" t="s">
        <v>267</v>
      </c>
      <c r="E83" s="287" t="s">
        <v>267</v>
      </c>
      <c r="F83" s="287" t="s">
        <v>267</v>
      </c>
      <c r="G83" s="287" t="s">
        <v>267</v>
      </c>
      <c r="H83" s="289" t="s">
        <v>267</v>
      </c>
      <c r="I83" s="202"/>
      <c r="J83" s="202"/>
      <c r="K83" s="165"/>
      <c r="L83" s="165"/>
      <c r="M83" s="165"/>
    </row>
    <row r="84" ht="32.25" customHeight="1">
      <c r="A84" s="178">
        <v>819.0</v>
      </c>
      <c r="B84" s="231" t="s">
        <v>256</v>
      </c>
      <c r="C84" s="175"/>
      <c r="D84" s="180"/>
      <c r="E84" s="180"/>
      <c r="F84" s="245"/>
      <c r="G84" s="178"/>
      <c r="H84" s="299"/>
      <c r="I84" s="202"/>
      <c r="J84" s="202"/>
      <c r="K84" s="165"/>
      <c r="L84" s="165"/>
      <c r="M84" s="165"/>
    </row>
    <row r="85" ht="32.25" customHeight="1">
      <c r="A85" s="305">
        <v>820.0</v>
      </c>
      <c r="B85" s="306" t="s">
        <v>256</v>
      </c>
      <c r="C85" s="307" t="s">
        <v>265</v>
      </c>
      <c r="D85" s="308"/>
      <c r="E85" s="308">
        <v>244593.0</v>
      </c>
      <c r="F85" s="309">
        <v>244623.0</v>
      </c>
      <c r="G85" s="305">
        <v>30.0</v>
      </c>
      <c r="H85" s="310"/>
      <c r="I85" s="202"/>
      <c r="J85" s="202"/>
      <c r="K85" s="165"/>
      <c r="L85" s="165"/>
      <c r="M85" s="165"/>
    </row>
    <row r="86" ht="32.25" customHeight="1">
      <c r="A86" s="178">
        <v>901.0</v>
      </c>
      <c r="B86" s="231" t="s">
        <v>249</v>
      </c>
      <c r="C86" s="175"/>
      <c r="D86" s="180"/>
      <c r="E86" s="180"/>
      <c r="F86" s="245"/>
      <c r="G86" s="178"/>
      <c r="H86" s="299"/>
      <c r="I86" s="202"/>
      <c r="J86" s="202"/>
      <c r="K86" s="165"/>
      <c r="L86" s="165"/>
      <c r="M86" s="165"/>
    </row>
    <row r="87" ht="32.25" customHeight="1">
      <c r="A87" s="178">
        <v>902.0</v>
      </c>
      <c r="B87" s="231" t="s">
        <v>249</v>
      </c>
      <c r="C87" s="175"/>
      <c r="D87" s="180"/>
      <c r="E87" s="180"/>
      <c r="F87" s="245"/>
      <c r="G87" s="178"/>
      <c r="H87" s="299"/>
      <c r="I87" s="202"/>
      <c r="J87" s="202"/>
      <c r="K87" s="165"/>
      <c r="L87" s="165"/>
      <c r="M87" s="165"/>
    </row>
    <row r="88" ht="32.25" customHeight="1">
      <c r="A88" s="178">
        <v>903.0</v>
      </c>
      <c r="B88" s="231" t="s">
        <v>249</v>
      </c>
      <c r="C88" s="175"/>
      <c r="D88" s="180"/>
      <c r="E88" s="180"/>
      <c r="F88" s="245"/>
      <c r="G88" s="178"/>
      <c r="H88" s="299"/>
      <c r="I88" s="202"/>
      <c r="J88" s="202"/>
      <c r="K88" s="165"/>
      <c r="L88" s="165"/>
      <c r="M88" s="165"/>
    </row>
    <row r="89" ht="32.25" customHeight="1">
      <c r="A89" s="178">
        <v>904.0</v>
      </c>
      <c r="B89" s="231" t="s">
        <v>249</v>
      </c>
      <c r="C89" s="175"/>
      <c r="D89" s="180"/>
      <c r="E89" s="180"/>
      <c r="F89" s="245"/>
      <c r="G89" s="178"/>
      <c r="H89" s="299"/>
      <c r="I89" s="202"/>
      <c r="J89" s="202"/>
      <c r="K89" s="165"/>
      <c r="L89" s="165"/>
      <c r="M89" s="165"/>
    </row>
    <row r="90" ht="32.25" customHeight="1">
      <c r="A90" s="178">
        <v>905.0</v>
      </c>
      <c r="B90" s="231" t="s">
        <v>249</v>
      </c>
      <c r="C90" s="175"/>
      <c r="D90" s="180"/>
      <c r="E90" s="180"/>
      <c r="F90" s="245"/>
      <c r="G90" s="178"/>
      <c r="H90" s="299"/>
      <c r="I90" s="202"/>
      <c r="J90" s="202"/>
      <c r="K90" s="165"/>
      <c r="L90" s="165"/>
      <c r="M90" s="165"/>
    </row>
    <row r="91" ht="32.25" customHeight="1">
      <c r="A91" s="178">
        <v>906.0</v>
      </c>
      <c r="B91" s="231" t="s">
        <v>249</v>
      </c>
      <c r="C91" s="175"/>
      <c r="D91" s="180"/>
      <c r="E91" s="180"/>
      <c r="F91" s="245"/>
      <c r="G91" s="178"/>
      <c r="H91" s="299"/>
      <c r="I91" s="202"/>
      <c r="J91" s="202"/>
      <c r="K91" s="165"/>
      <c r="L91" s="165"/>
      <c r="M91" s="165"/>
    </row>
    <row r="92" ht="32.25" customHeight="1">
      <c r="A92" s="178">
        <v>907.0</v>
      </c>
      <c r="B92" s="231" t="s">
        <v>54</v>
      </c>
      <c r="C92" s="175" t="s">
        <v>281</v>
      </c>
      <c r="D92" s="287" t="s">
        <v>267</v>
      </c>
      <c r="E92" s="287" t="s">
        <v>267</v>
      </c>
      <c r="F92" s="178" t="s">
        <v>267</v>
      </c>
      <c r="G92" s="178" t="s">
        <v>267</v>
      </c>
      <c r="H92" s="292" t="s">
        <v>267</v>
      </c>
      <c r="I92" s="202"/>
      <c r="J92" s="202"/>
      <c r="K92" s="165"/>
      <c r="L92" s="165"/>
      <c r="M92" s="165"/>
    </row>
    <row r="93" ht="32.25" customHeight="1">
      <c r="A93" s="178">
        <v>908.0</v>
      </c>
      <c r="B93" s="164" t="s">
        <v>254</v>
      </c>
      <c r="C93" s="175"/>
      <c r="D93" s="180"/>
      <c r="E93" s="180"/>
      <c r="F93" s="245"/>
      <c r="G93" s="178"/>
      <c r="H93" s="299"/>
      <c r="I93" s="202"/>
      <c r="J93" s="202"/>
      <c r="K93" s="165"/>
      <c r="L93" s="165"/>
      <c r="M93" s="165"/>
    </row>
    <row r="94" ht="32.25" customHeight="1">
      <c r="A94" s="178">
        <v>909.0</v>
      </c>
      <c r="B94" s="164" t="s">
        <v>255</v>
      </c>
      <c r="C94" s="175"/>
      <c r="D94" s="180"/>
      <c r="E94" s="180"/>
      <c r="F94" s="245"/>
      <c r="G94" s="178"/>
      <c r="H94" s="299"/>
      <c r="I94" s="202"/>
      <c r="J94" s="202"/>
      <c r="K94" s="165"/>
      <c r="L94" s="165"/>
      <c r="M94" s="165"/>
    </row>
    <row r="95" ht="32.25" customHeight="1">
      <c r="A95" s="178">
        <v>910.0</v>
      </c>
      <c r="B95" s="164" t="s">
        <v>254</v>
      </c>
      <c r="C95" s="175"/>
      <c r="D95" s="180"/>
      <c r="E95" s="180"/>
      <c r="F95" s="245"/>
      <c r="G95" s="178"/>
      <c r="H95" s="299"/>
      <c r="I95" s="202"/>
      <c r="J95" s="202"/>
      <c r="K95" s="165"/>
      <c r="L95" s="165"/>
      <c r="M95" s="165"/>
    </row>
    <row r="96" ht="32.25" customHeight="1">
      <c r="A96" s="178">
        <v>911.0</v>
      </c>
      <c r="B96" s="164" t="s">
        <v>254</v>
      </c>
      <c r="C96" s="175"/>
      <c r="D96" s="180"/>
      <c r="E96" s="180"/>
      <c r="F96" s="245"/>
      <c r="G96" s="178"/>
      <c r="H96" s="299"/>
      <c r="I96" s="202"/>
      <c r="J96" s="202"/>
      <c r="K96" s="165"/>
      <c r="L96" s="165"/>
      <c r="M96" s="165"/>
    </row>
    <row r="97" ht="32.25" customHeight="1">
      <c r="A97" s="178">
        <v>912.0</v>
      </c>
      <c r="B97" s="164" t="s">
        <v>254</v>
      </c>
      <c r="C97" s="175"/>
      <c r="D97" s="180"/>
      <c r="E97" s="180"/>
      <c r="F97" s="245"/>
      <c r="G97" s="178"/>
      <c r="H97" s="299"/>
      <c r="I97" s="202"/>
      <c r="J97" s="202"/>
      <c r="K97" s="165"/>
      <c r="L97" s="165"/>
      <c r="M97" s="165"/>
    </row>
    <row r="98" ht="32.25" customHeight="1">
      <c r="A98" s="178">
        <v>913.0</v>
      </c>
      <c r="B98" s="164" t="s">
        <v>254</v>
      </c>
      <c r="C98" s="175"/>
      <c r="D98" s="180"/>
      <c r="E98" s="180"/>
      <c r="F98" s="245"/>
      <c r="G98" s="178"/>
      <c r="H98" s="299"/>
      <c r="I98" s="202"/>
      <c r="J98" s="202"/>
      <c r="K98" s="165"/>
      <c r="L98" s="165"/>
      <c r="M98" s="165"/>
    </row>
    <row r="99" ht="32.25" customHeight="1">
      <c r="A99" s="178">
        <v>914.0</v>
      </c>
      <c r="B99" s="164" t="s">
        <v>254</v>
      </c>
      <c r="C99" s="175"/>
      <c r="D99" s="180"/>
      <c r="E99" s="180"/>
      <c r="F99" s="245"/>
      <c r="G99" s="178"/>
      <c r="H99" s="299"/>
      <c r="I99" s="202"/>
      <c r="J99" s="202"/>
      <c r="K99" s="165"/>
      <c r="L99" s="165"/>
      <c r="M99" s="165"/>
    </row>
    <row r="100" ht="32.25" customHeight="1">
      <c r="A100" s="178">
        <v>915.0</v>
      </c>
      <c r="B100" s="164" t="s">
        <v>254</v>
      </c>
      <c r="C100" s="175"/>
      <c r="D100" s="180"/>
      <c r="E100" s="180"/>
      <c r="F100" s="245"/>
      <c r="G100" s="178"/>
      <c r="H100" s="299"/>
      <c r="I100" s="202"/>
      <c r="J100" s="202"/>
      <c r="K100" s="165"/>
      <c r="L100" s="165"/>
      <c r="M100" s="165"/>
    </row>
    <row r="101" ht="32.25" customHeight="1">
      <c r="A101" s="178">
        <v>916.0</v>
      </c>
      <c r="B101" s="164" t="s">
        <v>254</v>
      </c>
      <c r="C101" s="175"/>
      <c r="D101" s="180"/>
      <c r="E101" s="180"/>
      <c r="F101" s="245"/>
      <c r="G101" s="178"/>
      <c r="H101" s="299"/>
      <c r="I101" s="202"/>
      <c r="J101" s="202"/>
      <c r="K101" s="165"/>
      <c r="L101" s="165"/>
      <c r="M101" s="165"/>
    </row>
    <row r="102" ht="32.25" customHeight="1">
      <c r="A102" s="178">
        <v>917.0</v>
      </c>
      <c r="B102" s="164" t="s">
        <v>254</v>
      </c>
      <c r="C102" s="175"/>
      <c r="D102" s="180"/>
      <c r="E102" s="180"/>
      <c r="F102" s="245"/>
      <c r="G102" s="178"/>
      <c r="H102" s="299"/>
      <c r="I102" s="202"/>
      <c r="J102" s="202"/>
      <c r="K102" s="165"/>
      <c r="L102" s="165"/>
      <c r="M102" s="165"/>
    </row>
    <row r="103" ht="32.25" customHeight="1">
      <c r="A103" s="279">
        <v>918.0</v>
      </c>
      <c r="B103" s="311" t="s">
        <v>54</v>
      </c>
      <c r="C103" s="281" t="s">
        <v>280</v>
      </c>
      <c r="D103" s="281"/>
      <c r="E103" s="281"/>
      <c r="F103" s="279"/>
      <c r="G103" s="279"/>
      <c r="H103" s="312"/>
      <c r="I103" s="202"/>
      <c r="J103" s="202"/>
      <c r="K103" s="165"/>
      <c r="L103" s="165"/>
      <c r="M103" s="165"/>
    </row>
    <row r="104" ht="32.25" customHeight="1">
      <c r="A104" s="313">
        <v>919.0</v>
      </c>
      <c r="B104" s="314" t="s">
        <v>249</v>
      </c>
      <c r="C104" s="313" t="s">
        <v>290</v>
      </c>
      <c r="D104" s="315" t="s">
        <v>267</v>
      </c>
      <c r="E104" s="315" t="s">
        <v>267</v>
      </c>
      <c r="F104" s="313" t="s">
        <v>267</v>
      </c>
      <c r="G104" s="313" t="s">
        <v>267</v>
      </c>
      <c r="H104" s="316" t="s">
        <v>267</v>
      </c>
      <c r="I104" s="202"/>
      <c r="J104" s="202"/>
      <c r="K104" s="165"/>
      <c r="L104" s="165"/>
      <c r="M104" s="165"/>
    </row>
    <row r="105" ht="32.25" customHeight="1">
      <c r="A105" s="317">
        <v>920.0</v>
      </c>
      <c r="B105" s="318" t="s">
        <v>249</v>
      </c>
      <c r="C105" s="317" t="s">
        <v>290</v>
      </c>
      <c r="D105" s="319" t="s">
        <v>267</v>
      </c>
      <c r="E105" s="319" t="s">
        <v>267</v>
      </c>
      <c r="F105" s="317" t="s">
        <v>267</v>
      </c>
      <c r="G105" s="317" t="s">
        <v>267</v>
      </c>
      <c r="H105" s="320" t="s">
        <v>267</v>
      </c>
      <c r="I105" s="202"/>
      <c r="J105" s="202"/>
      <c r="K105" s="165"/>
      <c r="L105" s="165"/>
      <c r="M105" s="165"/>
    </row>
    <row r="106" ht="23.25" customHeight="1">
      <c r="A106" s="252"/>
      <c r="B106" s="252"/>
      <c r="C106" s="252"/>
      <c r="D106" s="252"/>
      <c r="E106" s="252"/>
      <c r="F106" s="252"/>
      <c r="G106" s="252"/>
      <c r="H106" s="252"/>
      <c r="I106" s="165"/>
      <c r="J106" s="165"/>
      <c r="K106" s="165"/>
      <c r="L106" s="165"/>
      <c r="M106" s="165"/>
    </row>
    <row r="107" ht="23.25" customHeight="1">
      <c r="A107" s="252"/>
      <c r="B107" s="252"/>
      <c r="C107" s="252"/>
      <c r="D107" s="252"/>
      <c r="E107" s="252"/>
      <c r="F107" s="252"/>
      <c r="G107" s="252"/>
      <c r="H107" s="252"/>
      <c r="I107" s="165"/>
      <c r="J107" s="165"/>
      <c r="K107" s="165"/>
      <c r="L107" s="165"/>
      <c r="M107" s="165"/>
    </row>
    <row r="108" ht="23.25" customHeight="1">
      <c r="A108" s="252"/>
      <c r="B108" s="252"/>
      <c r="C108" s="252"/>
      <c r="D108" s="252"/>
      <c r="E108" s="252"/>
      <c r="F108" s="252"/>
      <c r="G108" s="252"/>
      <c r="H108" s="252"/>
      <c r="I108" s="165"/>
      <c r="J108" s="165"/>
      <c r="K108" s="165"/>
      <c r="L108" s="165"/>
      <c r="M108" s="165"/>
    </row>
    <row r="109" ht="23.25" customHeight="1">
      <c r="A109" s="252"/>
      <c r="B109" s="252"/>
      <c r="C109" s="252"/>
      <c r="D109" s="252"/>
      <c r="E109" s="252"/>
      <c r="F109" s="252"/>
      <c r="G109" s="252"/>
      <c r="H109" s="252"/>
      <c r="I109" s="165"/>
      <c r="J109" s="165"/>
      <c r="K109" s="165"/>
      <c r="L109" s="165"/>
      <c r="M109" s="165"/>
    </row>
    <row r="110" ht="23.25" customHeight="1">
      <c r="A110" s="252"/>
      <c r="B110" s="252"/>
      <c r="C110" s="252"/>
      <c r="D110" s="252"/>
      <c r="E110" s="252"/>
      <c r="F110" s="252"/>
      <c r="G110" s="252"/>
      <c r="H110" s="252"/>
      <c r="I110" s="165"/>
      <c r="J110" s="165"/>
      <c r="K110" s="165"/>
      <c r="L110" s="165"/>
      <c r="M110" s="165"/>
    </row>
    <row r="111" ht="23.25" customHeight="1">
      <c r="A111" s="252"/>
      <c r="B111" s="252"/>
      <c r="C111" s="252"/>
      <c r="D111" s="252"/>
      <c r="E111" s="252"/>
      <c r="F111" s="252"/>
      <c r="G111" s="252"/>
      <c r="H111" s="252"/>
      <c r="I111" s="165"/>
      <c r="J111" s="165"/>
      <c r="K111" s="165"/>
      <c r="L111" s="165"/>
      <c r="M111" s="165"/>
    </row>
    <row r="112" ht="23.25" customHeight="1">
      <c r="A112" s="252"/>
      <c r="B112" s="252"/>
      <c r="C112" s="252"/>
      <c r="D112" s="252"/>
      <c r="E112" s="252"/>
      <c r="F112" s="252"/>
      <c r="G112" s="252"/>
      <c r="H112" s="252"/>
      <c r="I112" s="165"/>
      <c r="J112" s="165"/>
      <c r="K112" s="165"/>
      <c r="L112" s="165"/>
      <c r="M112" s="165"/>
    </row>
    <row r="113" ht="23.25" customHeight="1">
      <c r="A113" s="252"/>
      <c r="B113" s="252"/>
      <c r="C113" s="252"/>
      <c r="D113" s="252"/>
      <c r="E113" s="252"/>
      <c r="F113" s="252"/>
      <c r="G113" s="252"/>
      <c r="H113" s="252"/>
      <c r="I113" s="165"/>
      <c r="J113" s="165"/>
      <c r="K113" s="165"/>
      <c r="L113" s="165"/>
      <c r="M113" s="165"/>
    </row>
    <row r="114" ht="23.25" customHeight="1">
      <c r="A114" s="252"/>
      <c r="B114" s="252"/>
      <c r="C114" s="252"/>
      <c r="D114" s="252"/>
      <c r="E114" s="252"/>
      <c r="F114" s="252"/>
      <c r="G114" s="252"/>
      <c r="H114" s="252"/>
      <c r="I114" s="165"/>
      <c r="J114" s="165"/>
      <c r="K114" s="165"/>
      <c r="L114" s="165"/>
      <c r="M114" s="165"/>
    </row>
    <row r="115" ht="23.25" customHeight="1">
      <c r="A115" s="252"/>
      <c r="B115" s="252"/>
      <c r="C115" s="252"/>
      <c r="D115" s="252"/>
      <c r="E115" s="252"/>
      <c r="F115" s="252"/>
      <c r="G115" s="252"/>
      <c r="H115" s="252"/>
      <c r="I115" s="165"/>
      <c r="J115" s="165"/>
      <c r="K115" s="165"/>
      <c r="L115" s="165"/>
      <c r="M115" s="165"/>
    </row>
    <row r="116" ht="23.25" customHeight="1">
      <c r="A116" s="252"/>
      <c r="B116" s="252"/>
      <c r="C116" s="252"/>
      <c r="D116" s="252"/>
      <c r="E116" s="252"/>
      <c r="F116" s="252"/>
      <c r="G116" s="252"/>
      <c r="H116" s="252"/>
      <c r="I116" s="165"/>
      <c r="J116" s="165"/>
      <c r="K116" s="165"/>
      <c r="L116" s="165"/>
      <c r="M116" s="165"/>
    </row>
    <row r="117" ht="23.25" customHeight="1">
      <c r="A117" s="252"/>
      <c r="B117" s="252"/>
      <c r="C117" s="252"/>
      <c r="D117" s="252"/>
      <c r="E117" s="252"/>
      <c r="F117" s="252"/>
      <c r="G117" s="252"/>
      <c r="H117" s="252"/>
      <c r="I117" s="165"/>
      <c r="J117" s="165"/>
      <c r="K117" s="165"/>
      <c r="L117" s="165"/>
      <c r="M117" s="165"/>
    </row>
    <row r="118" ht="23.25" customHeight="1">
      <c r="A118" s="252"/>
      <c r="B118" s="252"/>
      <c r="C118" s="252"/>
      <c r="D118" s="252"/>
      <c r="E118" s="252"/>
      <c r="F118" s="252"/>
      <c r="G118" s="252"/>
      <c r="H118" s="252"/>
      <c r="I118" s="165"/>
      <c r="J118" s="165"/>
      <c r="K118" s="165"/>
      <c r="L118" s="165"/>
      <c r="M118" s="165"/>
    </row>
    <row r="119" ht="23.25" customHeight="1">
      <c r="A119" s="252"/>
      <c r="B119" s="252"/>
      <c r="C119" s="252"/>
      <c r="D119" s="252"/>
      <c r="E119" s="252"/>
      <c r="F119" s="252"/>
      <c r="G119" s="252"/>
      <c r="H119" s="252"/>
      <c r="I119" s="165"/>
      <c r="J119" s="165"/>
      <c r="K119" s="165"/>
      <c r="L119" s="165"/>
      <c r="M119" s="165"/>
    </row>
    <row r="120" ht="23.25" customHeight="1">
      <c r="A120" s="252"/>
      <c r="B120" s="252"/>
      <c r="C120" s="252"/>
      <c r="D120" s="252"/>
      <c r="E120" s="252"/>
      <c r="F120" s="252"/>
      <c r="G120" s="252"/>
      <c r="H120" s="252"/>
      <c r="I120" s="165"/>
      <c r="J120" s="165"/>
      <c r="K120" s="165"/>
      <c r="L120" s="165"/>
      <c r="M120" s="165"/>
    </row>
    <row r="121" ht="23.25" customHeight="1">
      <c r="A121" s="252"/>
      <c r="B121" s="252"/>
      <c r="C121" s="252"/>
      <c r="D121" s="252"/>
      <c r="E121" s="252"/>
      <c r="F121" s="252"/>
      <c r="G121" s="252"/>
      <c r="H121" s="252"/>
      <c r="I121" s="165"/>
      <c r="J121" s="165"/>
      <c r="K121" s="165"/>
      <c r="L121" s="165"/>
      <c r="M121" s="165"/>
    </row>
    <row r="122" ht="23.25" customHeight="1">
      <c r="A122" s="252"/>
      <c r="B122" s="252"/>
      <c r="C122" s="252"/>
      <c r="D122" s="252"/>
      <c r="E122" s="252"/>
      <c r="F122" s="252"/>
      <c r="G122" s="252"/>
      <c r="H122" s="252"/>
      <c r="I122" s="165"/>
      <c r="J122" s="165"/>
      <c r="K122" s="165"/>
      <c r="L122" s="165"/>
      <c r="M122" s="165"/>
    </row>
    <row r="123" ht="23.25" customHeight="1">
      <c r="A123" s="252"/>
      <c r="B123" s="252"/>
      <c r="C123" s="252"/>
      <c r="D123" s="252"/>
      <c r="E123" s="252"/>
      <c r="F123" s="252"/>
      <c r="G123" s="252"/>
      <c r="H123" s="252"/>
      <c r="I123" s="165"/>
      <c r="J123" s="165"/>
      <c r="K123" s="165"/>
      <c r="L123" s="165"/>
      <c r="M123" s="165"/>
    </row>
    <row r="124" ht="23.25" customHeight="1">
      <c r="A124" s="252"/>
      <c r="B124" s="252"/>
      <c r="C124" s="252"/>
      <c r="D124" s="252"/>
      <c r="E124" s="252"/>
      <c r="F124" s="252"/>
      <c r="G124" s="252"/>
      <c r="H124" s="252"/>
      <c r="I124" s="165"/>
      <c r="J124" s="165"/>
      <c r="K124" s="165"/>
      <c r="L124" s="165"/>
      <c r="M124" s="165"/>
    </row>
    <row r="125">
      <c r="A125" s="252"/>
      <c r="B125" s="252"/>
      <c r="C125" s="252"/>
      <c r="D125" s="252"/>
      <c r="E125" s="252"/>
      <c r="F125" s="252"/>
      <c r="G125" s="252"/>
      <c r="H125" s="252"/>
      <c r="I125" s="165"/>
      <c r="J125" s="165"/>
      <c r="K125" s="165"/>
      <c r="L125" s="165"/>
      <c r="M125" s="165"/>
    </row>
    <row r="126">
      <c r="A126" s="253"/>
      <c r="B126" s="253"/>
      <c r="C126" s="253"/>
      <c r="D126" s="253"/>
      <c r="E126" s="253"/>
      <c r="F126" s="253"/>
      <c r="G126" s="253"/>
      <c r="H126" s="253"/>
      <c r="I126" s="165"/>
      <c r="J126" s="165"/>
      <c r="K126" s="165"/>
      <c r="L126" s="165"/>
      <c r="M126" s="165"/>
    </row>
    <row r="127">
      <c r="A127" s="253"/>
      <c r="B127" s="253"/>
      <c r="C127" s="253"/>
      <c r="D127" s="253"/>
      <c r="E127" s="253"/>
      <c r="F127" s="253"/>
      <c r="G127" s="253"/>
      <c r="H127" s="253"/>
      <c r="I127" s="165"/>
      <c r="J127" s="165"/>
      <c r="K127" s="165"/>
      <c r="L127" s="165"/>
      <c r="M127" s="165"/>
    </row>
    <row r="128">
      <c r="A128" s="253"/>
      <c r="B128" s="253"/>
      <c r="C128" s="253"/>
      <c r="D128" s="253"/>
      <c r="E128" s="253"/>
      <c r="F128" s="253"/>
      <c r="G128" s="253"/>
      <c r="H128" s="253"/>
      <c r="I128" s="165"/>
      <c r="J128" s="165"/>
      <c r="K128" s="165"/>
      <c r="L128" s="165"/>
      <c r="M128" s="165"/>
    </row>
    <row r="129">
      <c r="I129" s="165"/>
      <c r="J129" s="165"/>
      <c r="K129" s="165"/>
      <c r="L129" s="165"/>
      <c r="M129" s="165"/>
    </row>
    <row r="130">
      <c r="I130" s="165"/>
      <c r="J130" s="165"/>
      <c r="K130" s="165"/>
      <c r="L130" s="165"/>
      <c r="M130" s="165"/>
    </row>
    <row r="131">
      <c r="I131" s="165"/>
      <c r="J131" s="165"/>
      <c r="K131" s="165"/>
      <c r="L131" s="165"/>
      <c r="M131" s="165"/>
    </row>
    <row r="132">
      <c r="I132" s="165"/>
      <c r="J132" s="165"/>
      <c r="K132" s="165"/>
      <c r="L132" s="165"/>
      <c r="M132" s="165"/>
    </row>
    <row r="133">
      <c r="I133" s="165"/>
      <c r="J133" s="165"/>
      <c r="K133" s="165"/>
      <c r="L133" s="165"/>
      <c r="M133" s="165"/>
    </row>
    <row r="134">
      <c r="I134" s="165"/>
      <c r="J134" s="165"/>
      <c r="K134" s="165"/>
      <c r="L134" s="165"/>
      <c r="M134" s="165"/>
    </row>
    <row r="135">
      <c r="I135" s="165"/>
      <c r="J135" s="165"/>
      <c r="K135" s="165"/>
      <c r="L135" s="165"/>
      <c r="M135" s="165"/>
    </row>
    <row r="136">
      <c r="I136" s="165"/>
      <c r="J136" s="165"/>
      <c r="K136" s="165"/>
      <c r="L136" s="165"/>
      <c r="M136" s="165"/>
    </row>
    <row r="137">
      <c r="I137" s="165"/>
      <c r="J137" s="165"/>
      <c r="K137" s="165"/>
      <c r="L137" s="165"/>
      <c r="M137" s="165"/>
    </row>
    <row r="138">
      <c r="I138" s="165"/>
      <c r="J138" s="165"/>
      <c r="K138" s="165"/>
      <c r="L138" s="165"/>
      <c r="M138" s="165"/>
    </row>
    <row r="139">
      <c r="I139" s="165"/>
      <c r="J139" s="165"/>
      <c r="K139" s="165"/>
      <c r="L139" s="165"/>
      <c r="M139" s="165"/>
    </row>
    <row r="140">
      <c r="I140" s="165"/>
      <c r="J140" s="165"/>
      <c r="K140" s="165"/>
      <c r="L140" s="165"/>
      <c r="M140" s="165"/>
    </row>
    <row r="141">
      <c r="I141" s="165"/>
      <c r="J141" s="165"/>
      <c r="K141" s="165"/>
      <c r="L141" s="165"/>
      <c r="M141" s="165"/>
    </row>
    <row r="142">
      <c r="I142" s="165"/>
      <c r="J142" s="165"/>
      <c r="K142" s="165"/>
      <c r="L142" s="165"/>
      <c r="M142" s="165"/>
    </row>
    <row r="143">
      <c r="I143" s="165"/>
      <c r="J143" s="165"/>
      <c r="K143" s="165"/>
      <c r="L143" s="165"/>
      <c r="M143" s="165"/>
    </row>
    <row r="144">
      <c r="I144" s="165"/>
      <c r="J144" s="165"/>
      <c r="K144" s="165"/>
      <c r="L144" s="165"/>
      <c r="M144" s="165"/>
    </row>
    <row r="145">
      <c r="I145" s="165"/>
      <c r="J145" s="165"/>
      <c r="K145" s="165"/>
      <c r="L145" s="165"/>
      <c r="M145" s="165"/>
    </row>
    <row r="146">
      <c r="I146" s="165"/>
      <c r="J146" s="165"/>
      <c r="K146" s="165"/>
      <c r="L146" s="165"/>
      <c r="M146" s="165"/>
    </row>
    <row r="147">
      <c r="I147" s="165"/>
      <c r="J147" s="165"/>
      <c r="K147" s="165"/>
      <c r="L147" s="165"/>
      <c r="M147" s="165"/>
    </row>
    <row r="148">
      <c r="I148" s="165"/>
      <c r="J148" s="165"/>
      <c r="K148" s="165"/>
      <c r="L148" s="165"/>
      <c r="M148" s="165"/>
    </row>
    <row r="149">
      <c r="I149" s="165"/>
      <c r="J149" s="165"/>
      <c r="K149" s="165"/>
      <c r="L149" s="165"/>
      <c r="M149" s="165"/>
    </row>
    <row r="150">
      <c r="I150" s="165"/>
      <c r="J150" s="165"/>
      <c r="K150" s="165"/>
      <c r="L150" s="165"/>
      <c r="M150" s="165"/>
    </row>
    <row r="151">
      <c r="I151" s="165"/>
      <c r="J151" s="165"/>
      <c r="K151" s="165"/>
      <c r="L151" s="165"/>
      <c r="M151" s="165"/>
    </row>
    <row r="152">
      <c r="I152" s="165"/>
      <c r="J152" s="165"/>
      <c r="K152" s="165"/>
      <c r="L152" s="165"/>
      <c r="M152" s="165"/>
    </row>
    <row r="153">
      <c r="I153" s="165"/>
      <c r="J153" s="165"/>
      <c r="K153" s="165"/>
      <c r="L153" s="165"/>
      <c r="M153" s="165"/>
    </row>
    <row r="154">
      <c r="I154" s="165"/>
      <c r="J154" s="165"/>
      <c r="K154" s="165"/>
      <c r="L154" s="165"/>
      <c r="M154" s="165"/>
    </row>
    <row r="155">
      <c r="I155" s="165"/>
      <c r="J155" s="165"/>
      <c r="K155" s="165"/>
      <c r="L155" s="165"/>
      <c r="M155" s="165"/>
    </row>
    <row r="156">
      <c r="I156" s="165"/>
      <c r="J156" s="165"/>
      <c r="K156" s="165"/>
      <c r="L156" s="165"/>
      <c r="M156" s="165"/>
    </row>
    <row r="157">
      <c r="I157" s="165"/>
      <c r="J157" s="165"/>
      <c r="K157" s="165"/>
      <c r="L157" s="165"/>
      <c r="M157" s="165"/>
    </row>
    <row r="158">
      <c r="I158" s="165"/>
      <c r="J158" s="165"/>
      <c r="K158" s="165"/>
      <c r="L158" s="165"/>
      <c r="M158" s="165"/>
    </row>
    <row r="159">
      <c r="I159" s="165"/>
      <c r="J159" s="165"/>
      <c r="K159" s="165"/>
      <c r="L159" s="165"/>
      <c r="M159" s="165"/>
    </row>
    <row r="160">
      <c r="I160" s="165"/>
      <c r="J160" s="165"/>
      <c r="K160" s="165"/>
      <c r="L160" s="165"/>
      <c r="M160" s="165"/>
    </row>
    <row r="161">
      <c r="I161" s="165"/>
      <c r="J161" s="165"/>
      <c r="K161" s="165"/>
      <c r="L161" s="165"/>
      <c r="M161" s="165"/>
    </row>
    <row r="162">
      <c r="I162" s="165"/>
      <c r="J162" s="165"/>
      <c r="K162" s="165"/>
      <c r="L162" s="165"/>
      <c r="M162" s="165"/>
    </row>
    <row r="163">
      <c r="I163" s="165"/>
      <c r="J163" s="165"/>
      <c r="K163" s="165"/>
      <c r="L163" s="165"/>
      <c r="M163" s="165"/>
    </row>
    <row r="164">
      <c r="I164" s="165"/>
      <c r="J164" s="165"/>
      <c r="K164" s="165"/>
      <c r="L164" s="165"/>
      <c r="M164" s="165"/>
    </row>
    <row r="165">
      <c r="I165" s="165"/>
      <c r="J165" s="165"/>
      <c r="K165" s="165"/>
      <c r="L165" s="165"/>
      <c r="M165" s="165"/>
    </row>
    <row r="166">
      <c r="I166" s="165"/>
      <c r="J166" s="165"/>
      <c r="K166" s="165"/>
      <c r="L166" s="165"/>
      <c r="M166" s="165"/>
    </row>
    <row r="167">
      <c r="I167" s="165"/>
      <c r="J167" s="165"/>
      <c r="K167" s="165"/>
      <c r="L167" s="165"/>
      <c r="M167" s="165"/>
    </row>
    <row r="168">
      <c r="I168" s="165"/>
      <c r="J168" s="165"/>
      <c r="K168" s="165"/>
      <c r="L168" s="165"/>
      <c r="M168" s="165"/>
    </row>
    <row r="169">
      <c r="I169" s="165"/>
      <c r="J169" s="165"/>
      <c r="K169" s="165"/>
      <c r="L169" s="165"/>
      <c r="M169" s="165"/>
    </row>
    <row r="170">
      <c r="I170" s="165"/>
      <c r="J170" s="165"/>
      <c r="K170" s="165"/>
      <c r="L170" s="165"/>
      <c r="M170" s="165"/>
    </row>
    <row r="171">
      <c r="I171" s="165"/>
      <c r="J171" s="165"/>
      <c r="K171" s="165"/>
      <c r="L171" s="165"/>
      <c r="M171" s="165"/>
    </row>
    <row r="172">
      <c r="I172" s="165"/>
      <c r="J172" s="165"/>
      <c r="K172" s="165"/>
      <c r="L172" s="165"/>
      <c r="M172" s="165"/>
    </row>
    <row r="173">
      <c r="I173" s="165"/>
      <c r="J173" s="165"/>
      <c r="K173" s="165"/>
      <c r="L173" s="165"/>
      <c r="M173" s="165"/>
    </row>
    <row r="174">
      <c r="I174" s="165"/>
      <c r="J174" s="165"/>
      <c r="K174" s="165"/>
      <c r="L174" s="165"/>
      <c r="M174" s="165"/>
    </row>
    <row r="175">
      <c r="I175" s="165"/>
      <c r="J175" s="165"/>
      <c r="K175" s="165"/>
      <c r="L175" s="165"/>
      <c r="M175" s="165"/>
    </row>
    <row r="176">
      <c r="I176" s="165"/>
      <c r="J176" s="165"/>
      <c r="K176" s="165"/>
      <c r="L176" s="165"/>
      <c r="M176" s="165"/>
    </row>
    <row r="177">
      <c r="I177" s="165"/>
      <c r="J177" s="165"/>
      <c r="K177" s="165"/>
      <c r="L177" s="165"/>
      <c r="M177" s="165"/>
    </row>
    <row r="178">
      <c r="I178" s="165"/>
      <c r="J178" s="165"/>
      <c r="K178" s="165"/>
      <c r="L178" s="165"/>
      <c r="M178" s="165"/>
    </row>
    <row r="179">
      <c r="I179" s="165"/>
      <c r="J179" s="165"/>
      <c r="K179" s="165"/>
      <c r="L179" s="165"/>
      <c r="M179" s="165"/>
    </row>
    <row r="180">
      <c r="I180" s="165"/>
      <c r="J180" s="165"/>
      <c r="K180" s="165"/>
      <c r="L180" s="165"/>
      <c r="M180" s="165"/>
    </row>
    <row r="181">
      <c r="I181" s="165"/>
      <c r="J181" s="165"/>
      <c r="K181" s="165"/>
      <c r="L181" s="165"/>
      <c r="M181" s="165"/>
    </row>
    <row r="182">
      <c r="I182" s="165"/>
      <c r="J182" s="165"/>
      <c r="K182" s="165"/>
      <c r="L182" s="165"/>
      <c r="M182" s="165"/>
    </row>
    <row r="183">
      <c r="I183" s="165"/>
      <c r="J183" s="165"/>
      <c r="K183" s="165"/>
      <c r="L183" s="165"/>
      <c r="M183" s="165"/>
    </row>
    <row r="184">
      <c r="I184" s="165"/>
      <c r="J184" s="165"/>
      <c r="K184" s="165"/>
      <c r="L184" s="165"/>
      <c r="M184" s="165"/>
    </row>
    <row r="185">
      <c r="I185" s="165"/>
      <c r="J185" s="165"/>
      <c r="K185" s="165"/>
      <c r="L185" s="165"/>
      <c r="M185" s="165"/>
    </row>
    <row r="186">
      <c r="I186" s="165"/>
      <c r="J186" s="165"/>
      <c r="K186" s="165"/>
      <c r="L186" s="165"/>
      <c r="M186" s="165"/>
    </row>
    <row r="187">
      <c r="I187" s="165"/>
      <c r="J187" s="165"/>
      <c r="K187" s="165"/>
      <c r="L187" s="165"/>
      <c r="M187" s="165"/>
    </row>
    <row r="188">
      <c r="I188" s="165"/>
      <c r="J188" s="165"/>
      <c r="K188" s="165"/>
      <c r="L188" s="165"/>
      <c r="M188" s="165"/>
    </row>
    <row r="189">
      <c r="I189" s="165"/>
      <c r="J189" s="165"/>
      <c r="K189" s="165"/>
      <c r="L189" s="165"/>
      <c r="M189" s="165"/>
    </row>
    <row r="190">
      <c r="I190" s="165"/>
      <c r="J190" s="165"/>
      <c r="K190" s="165"/>
      <c r="L190" s="165"/>
      <c r="M190" s="165"/>
    </row>
    <row r="191">
      <c r="I191" s="165"/>
      <c r="J191" s="165"/>
      <c r="K191" s="165"/>
      <c r="L191" s="165"/>
      <c r="M191" s="165"/>
    </row>
    <row r="192">
      <c r="I192" s="165"/>
      <c r="J192" s="165"/>
      <c r="K192" s="165"/>
      <c r="L192" s="165"/>
      <c r="M192" s="165"/>
    </row>
    <row r="193">
      <c r="I193" s="165"/>
      <c r="J193" s="165"/>
      <c r="K193" s="165"/>
      <c r="L193" s="165"/>
      <c r="M193" s="165"/>
    </row>
    <row r="194">
      <c r="I194" s="165"/>
      <c r="J194" s="165"/>
      <c r="K194" s="165"/>
      <c r="L194" s="165"/>
      <c r="M194" s="165"/>
    </row>
    <row r="195">
      <c r="I195" s="165"/>
      <c r="J195" s="165"/>
      <c r="K195" s="165"/>
      <c r="L195" s="165"/>
      <c r="M195" s="165"/>
    </row>
    <row r="196">
      <c r="I196" s="165"/>
      <c r="J196" s="165"/>
      <c r="K196" s="165"/>
      <c r="L196" s="165"/>
      <c r="M196" s="165"/>
    </row>
    <row r="197">
      <c r="I197" s="165"/>
      <c r="J197" s="165"/>
      <c r="K197" s="165"/>
      <c r="L197" s="165"/>
      <c r="M197" s="165"/>
    </row>
    <row r="198">
      <c r="I198" s="165"/>
      <c r="J198" s="165"/>
      <c r="K198" s="165"/>
      <c r="L198" s="165"/>
      <c r="M198" s="165"/>
    </row>
    <row r="199">
      <c r="I199" s="165"/>
      <c r="J199" s="165"/>
      <c r="K199" s="165"/>
      <c r="L199" s="165"/>
      <c r="M199" s="165"/>
    </row>
    <row r="200">
      <c r="I200" s="165"/>
      <c r="J200" s="165"/>
      <c r="K200" s="165"/>
      <c r="L200" s="165"/>
      <c r="M200" s="165"/>
    </row>
    <row r="201">
      <c r="I201" s="165"/>
      <c r="J201" s="165"/>
      <c r="K201" s="165"/>
      <c r="L201" s="165"/>
      <c r="M201" s="165"/>
    </row>
    <row r="202">
      <c r="I202" s="165"/>
      <c r="J202" s="165"/>
      <c r="K202" s="165"/>
      <c r="L202" s="165"/>
      <c r="M202" s="165"/>
    </row>
    <row r="203">
      <c r="I203" s="165"/>
      <c r="J203" s="165"/>
      <c r="K203" s="165"/>
      <c r="L203" s="165"/>
      <c r="M203" s="165"/>
    </row>
    <row r="204">
      <c r="I204" s="165"/>
      <c r="J204" s="165"/>
      <c r="K204" s="165"/>
      <c r="L204" s="165"/>
      <c r="M204" s="165"/>
    </row>
    <row r="205">
      <c r="I205" s="165"/>
      <c r="J205" s="165"/>
      <c r="K205" s="165"/>
      <c r="L205" s="165"/>
      <c r="M205" s="165"/>
    </row>
    <row r="206">
      <c r="I206" s="165"/>
      <c r="J206" s="165"/>
      <c r="K206" s="165"/>
      <c r="L206" s="165"/>
      <c r="M206" s="165"/>
    </row>
    <row r="207">
      <c r="I207" s="165"/>
      <c r="J207" s="165"/>
      <c r="K207" s="165"/>
      <c r="L207" s="165"/>
      <c r="M207" s="165"/>
    </row>
    <row r="208">
      <c r="I208" s="165"/>
      <c r="J208" s="165"/>
      <c r="K208" s="165"/>
      <c r="L208" s="165"/>
      <c r="M208" s="165"/>
    </row>
    <row r="209">
      <c r="I209" s="165"/>
      <c r="J209" s="165"/>
      <c r="K209" s="165"/>
      <c r="L209" s="165"/>
      <c r="M209" s="165"/>
    </row>
    <row r="210">
      <c r="I210" s="165"/>
      <c r="J210" s="165"/>
      <c r="K210" s="165"/>
      <c r="L210" s="165"/>
      <c r="M210" s="165"/>
    </row>
    <row r="211">
      <c r="I211" s="165"/>
      <c r="J211" s="165"/>
      <c r="K211" s="165"/>
      <c r="L211" s="165"/>
      <c r="M211" s="165"/>
    </row>
    <row r="212">
      <c r="I212" s="165"/>
      <c r="J212" s="165"/>
      <c r="K212" s="165"/>
      <c r="L212" s="165"/>
      <c r="M212" s="165"/>
    </row>
    <row r="213">
      <c r="I213" s="165"/>
      <c r="J213" s="165"/>
      <c r="K213" s="165"/>
      <c r="L213" s="165"/>
      <c r="M213" s="165"/>
    </row>
    <row r="214">
      <c r="I214" s="165"/>
      <c r="J214" s="165"/>
      <c r="K214" s="165"/>
      <c r="L214" s="165"/>
      <c r="M214" s="165"/>
    </row>
    <row r="215">
      <c r="I215" s="165"/>
      <c r="J215" s="165"/>
      <c r="K215" s="165"/>
      <c r="L215" s="165"/>
      <c r="M215" s="165"/>
    </row>
    <row r="216">
      <c r="I216" s="165"/>
      <c r="J216" s="165"/>
      <c r="K216" s="165"/>
      <c r="L216" s="165"/>
      <c r="M216" s="165"/>
    </row>
    <row r="217">
      <c r="I217" s="165"/>
      <c r="J217" s="165"/>
      <c r="K217" s="165"/>
      <c r="L217" s="165"/>
      <c r="M217" s="165"/>
    </row>
    <row r="218">
      <c r="I218" s="165"/>
      <c r="J218" s="165"/>
      <c r="K218" s="165"/>
      <c r="L218" s="165"/>
      <c r="M218" s="165"/>
    </row>
    <row r="219">
      <c r="I219" s="165"/>
      <c r="J219" s="165"/>
      <c r="K219" s="165"/>
      <c r="L219" s="165"/>
      <c r="M219" s="165"/>
    </row>
    <row r="220">
      <c r="I220" s="165"/>
      <c r="J220" s="165"/>
      <c r="K220" s="165"/>
      <c r="L220" s="165"/>
      <c r="M220" s="165"/>
    </row>
    <row r="221">
      <c r="I221" s="165"/>
      <c r="J221" s="165"/>
      <c r="K221" s="165"/>
      <c r="L221" s="165"/>
      <c r="M221" s="165"/>
    </row>
    <row r="222">
      <c r="I222" s="165"/>
      <c r="J222" s="165"/>
      <c r="K222" s="165"/>
      <c r="L222" s="165"/>
      <c r="M222" s="165"/>
    </row>
    <row r="223">
      <c r="I223" s="165"/>
      <c r="J223" s="165"/>
      <c r="K223" s="165"/>
      <c r="L223" s="165"/>
      <c r="M223" s="165"/>
    </row>
    <row r="224">
      <c r="I224" s="165"/>
      <c r="J224" s="165"/>
      <c r="K224" s="165"/>
      <c r="L224" s="165"/>
      <c r="M224" s="165"/>
    </row>
    <row r="225">
      <c r="I225" s="165"/>
      <c r="J225" s="165"/>
      <c r="K225" s="165"/>
      <c r="L225" s="165"/>
      <c r="M225" s="165"/>
    </row>
    <row r="226">
      <c r="I226" s="165"/>
      <c r="J226" s="165"/>
      <c r="K226" s="165"/>
      <c r="L226" s="165"/>
      <c r="M226" s="165"/>
    </row>
    <row r="227">
      <c r="I227" s="165"/>
      <c r="J227" s="165"/>
      <c r="K227" s="165"/>
      <c r="L227" s="165"/>
      <c r="M227" s="165"/>
    </row>
    <row r="228">
      <c r="I228" s="165"/>
      <c r="J228" s="165"/>
      <c r="K228" s="165"/>
      <c r="L228" s="165"/>
      <c r="M228" s="165"/>
    </row>
    <row r="229">
      <c r="I229" s="165"/>
      <c r="J229" s="165"/>
      <c r="K229" s="165"/>
      <c r="L229" s="165"/>
      <c r="M229" s="165"/>
    </row>
    <row r="230">
      <c r="I230" s="165"/>
      <c r="J230" s="165"/>
      <c r="K230" s="165"/>
      <c r="L230" s="165"/>
      <c r="M230" s="165"/>
    </row>
    <row r="231">
      <c r="I231" s="165"/>
      <c r="J231" s="165"/>
      <c r="K231" s="165"/>
      <c r="L231" s="165"/>
      <c r="M231" s="165"/>
    </row>
    <row r="232">
      <c r="I232" s="165"/>
      <c r="J232" s="165"/>
      <c r="K232" s="165"/>
      <c r="L232" s="165"/>
      <c r="M232" s="165"/>
    </row>
    <row r="233">
      <c r="I233" s="165"/>
      <c r="J233" s="165"/>
      <c r="K233" s="165"/>
      <c r="L233" s="165"/>
      <c r="M233" s="165"/>
    </row>
    <row r="234">
      <c r="I234" s="165"/>
      <c r="J234" s="165"/>
      <c r="K234" s="165"/>
      <c r="L234" s="165"/>
      <c r="M234" s="165"/>
    </row>
    <row r="235">
      <c r="I235" s="165"/>
      <c r="J235" s="165"/>
      <c r="K235" s="165"/>
      <c r="L235" s="165"/>
      <c r="M235" s="165"/>
    </row>
    <row r="236">
      <c r="I236" s="165"/>
      <c r="J236" s="165"/>
      <c r="K236" s="165"/>
      <c r="L236" s="165"/>
      <c r="M236" s="165"/>
    </row>
    <row r="237">
      <c r="I237" s="165"/>
      <c r="J237" s="165"/>
      <c r="K237" s="165"/>
      <c r="L237" s="165"/>
      <c r="M237" s="165"/>
    </row>
    <row r="238">
      <c r="I238" s="165"/>
      <c r="J238" s="165"/>
      <c r="K238" s="165"/>
      <c r="L238" s="165"/>
      <c r="M238" s="165"/>
    </row>
    <row r="239">
      <c r="I239" s="165"/>
      <c r="J239" s="165"/>
      <c r="K239" s="165"/>
      <c r="L239" s="165"/>
      <c r="M239" s="165"/>
    </row>
    <row r="240">
      <c r="I240" s="165"/>
      <c r="J240" s="165"/>
      <c r="K240" s="165"/>
      <c r="L240" s="165"/>
      <c r="M240" s="165"/>
    </row>
    <row r="241">
      <c r="I241" s="165"/>
      <c r="J241" s="165"/>
      <c r="K241" s="165"/>
      <c r="L241" s="165"/>
      <c r="M241" s="165"/>
    </row>
    <row r="242">
      <c r="I242" s="165"/>
      <c r="J242" s="165"/>
      <c r="K242" s="165"/>
      <c r="L242" s="165"/>
      <c r="M242" s="165"/>
    </row>
    <row r="243">
      <c r="I243" s="165"/>
      <c r="J243" s="165"/>
      <c r="K243" s="165"/>
      <c r="L243" s="165"/>
      <c r="M243" s="165"/>
    </row>
    <row r="244">
      <c r="I244" s="165"/>
      <c r="J244" s="165"/>
      <c r="K244" s="165"/>
      <c r="L244" s="165"/>
      <c r="M244" s="165"/>
    </row>
    <row r="245">
      <c r="I245" s="165"/>
      <c r="J245" s="165"/>
      <c r="K245" s="165"/>
      <c r="L245" s="165"/>
      <c r="M245" s="165"/>
    </row>
    <row r="246">
      <c r="I246" s="165"/>
      <c r="J246" s="165"/>
      <c r="K246" s="165"/>
      <c r="L246" s="165"/>
      <c r="M246" s="165"/>
    </row>
    <row r="247">
      <c r="I247" s="165"/>
      <c r="J247" s="165"/>
      <c r="K247" s="165"/>
      <c r="L247" s="165"/>
      <c r="M247" s="165"/>
    </row>
    <row r="248">
      <c r="I248" s="165"/>
      <c r="J248" s="165"/>
      <c r="K248" s="165"/>
      <c r="L248" s="165"/>
      <c r="M248" s="165"/>
    </row>
    <row r="249">
      <c r="I249" s="165"/>
      <c r="J249" s="165"/>
      <c r="K249" s="165"/>
      <c r="L249" s="165"/>
      <c r="M249" s="165"/>
    </row>
    <row r="250">
      <c r="I250" s="165"/>
      <c r="J250" s="165"/>
      <c r="K250" s="165"/>
      <c r="L250" s="165"/>
      <c r="M250" s="165"/>
    </row>
    <row r="251">
      <c r="I251" s="165"/>
      <c r="J251" s="165"/>
      <c r="K251" s="165"/>
      <c r="L251" s="165"/>
      <c r="M251" s="165"/>
    </row>
    <row r="252">
      <c r="I252" s="165"/>
      <c r="J252" s="165"/>
      <c r="K252" s="165"/>
      <c r="L252" s="165"/>
      <c r="M252" s="165"/>
    </row>
    <row r="253">
      <c r="I253" s="165"/>
      <c r="J253" s="165"/>
      <c r="K253" s="165"/>
      <c r="L253" s="165"/>
      <c r="M253" s="165"/>
    </row>
    <row r="254">
      <c r="I254" s="165"/>
      <c r="J254" s="165"/>
      <c r="K254" s="165"/>
      <c r="L254" s="165"/>
      <c r="M254" s="165"/>
    </row>
    <row r="255">
      <c r="I255" s="165"/>
      <c r="J255" s="165"/>
      <c r="K255" s="165"/>
      <c r="L255" s="165"/>
      <c r="M255" s="165"/>
    </row>
    <row r="256">
      <c r="I256" s="165"/>
      <c r="J256" s="165"/>
      <c r="K256" s="165"/>
      <c r="L256" s="165"/>
      <c r="M256" s="165"/>
    </row>
    <row r="257">
      <c r="I257" s="165"/>
      <c r="J257" s="165"/>
      <c r="K257" s="165"/>
      <c r="L257" s="165"/>
      <c r="M257" s="165"/>
    </row>
    <row r="258">
      <c r="I258" s="165"/>
      <c r="J258" s="165"/>
      <c r="K258" s="165"/>
      <c r="L258" s="165"/>
      <c r="M258" s="165"/>
    </row>
    <row r="259">
      <c r="I259" s="165"/>
      <c r="J259" s="165"/>
      <c r="K259" s="165"/>
      <c r="L259" s="165"/>
      <c r="M259" s="165"/>
    </row>
    <row r="260">
      <c r="I260" s="165"/>
      <c r="J260" s="165"/>
      <c r="K260" s="165"/>
      <c r="L260" s="165"/>
      <c r="M260" s="165"/>
    </row>
    <row r="261">
      <c r="I261" s="165"/>
      <c r="J261" s="165"/>
      <c r="K261" s="165"/>
      <c r="L261" s="165"/>
      <c r="M261" s="165"/>
    </row>
    <row r="262">
      <c r="I262" s="165"/>
      <c r="J262" s="165"/>
      <c r="K262" s="165"/>
      <c r="L262" s="165"/>
      <c r="M262" s="165"/>
    </row>
    <row r="263">
      <c r="I263" s="165"/>
      <c r="J263" s="165"/>
      <c r="K263" s="165"/>
      <c r="L263" s="165"/>
      <c r="M263" s="165"/>
    </row>
    <row r="264">
      <c r="I264" s="165"/>
      <c r="J264" s="165"/>
      <c r="K264" s="165"/>
      <c r="L264" s="165"/>
      <c r="M264" s="165"/>
    </row>
    <row r="265">
      <c r="I265" s="165"/>
      <c r="J265" s="165"/>
      <c r="K265" s="165"/>
      <c r="L265" s="165"/>
      <c r="M265" s="165"/>
    </row>
    <row r="266">
      <c r="I266" s="165"/>
      <c r="J266" s="165"/>
      <c r="K266" s="165"/>
      <c r="L266" s="165"/>
      <c r="M266" s="165"/>
    </row>
    <row r="267">
      <c r="I267" s="165"/>
      <c r="J267" s="165"/>
      <c r="K267" s="165"/>
      <c r="L267" s="165"/>
      <c r="M267" s="165"/>
    </row>
    <row r="268">
      <c r="I268" s="165"/>
      <c r="J268" s="165"/>
      <c r="K268" s="165"/>
      <c r="L268" s="165"/>
      <c r="M268" s="165"/>
    </row>
    <row r="269">
      <c r="I269" s="165"/>
      <c r="J269" s="165"/>
      <c r="K269" s="165"/>
      <c r="L269" s="165"/>
      <c r="M269" s="165"/>
    </row>
    <row r="270">
      <c r="I270" s="165"/>
      <c r="J270" s="165"/>
      <c r="K270" s="165"/>
      <c r="L270" s="165"/>
      <c r="M270" s="165"/>
    </row>
    <row r="271">
      <c r="I271" s="165"/>
      <c r="J271" s="165"/>
      <c r="K271" s="165"/>
      <c r="L271" s="165"/>
      <c r="M271" s="165"/>
    </row>
    <row r="272">
      <c r="I272" s="165"/>
      <c r="J272" s="165"/>
      <c r="K272" s="165"/>
      <c r="L272" s="165"/>
      <c r="M272" s="165"/>
    </row>
    <row r="273">
      <c r="I273" s="165"/>
      <c r="J273" s="165"/>
      <c r="K273" s="165"/>
      <c r="L273" s="165"/>
      <c r="M273" s="165"/>
    </row>
    <row r="274">
      <c r="I274" s="165"/>
      <c r="J274" s="165"/>
      <c r="K274" s="165"/>
      <c r="L274" s="165"/>
      <c r="M274" s="165"/>
    </row>
    <row r="275">
      <c r="I275" s="165"/>
      <c r="J275" s="165"/>
      <c r="K275" s="165"/>
      <c r="L275" s="165"/>
      <c r="M275" s="165"/>
    </row>
    <row r="276">
      <c r="I276" s="165"/>
      <c r="J276" s="165"/>
      <c r="K276" s="165"/>
      <c r="L276" s="165"/>
      <c r="M276" s="165"/>
    </row>
    <row r="277">
      <c r="I277" s="165"/>
      <c r="J277" s="165"/>
      <c r="K277" s="165"/>
      <c r="L277" s="165"/>
      <c r="M277" s="165"/>
    </row>
    <row r="278">
      <c r="I278" s="165"/>
      <c r="J278" s="165"/>
      <c r="K278" s="165"/>
      <c r="L278" s="165"/>
      <c r="M278" s="165"/>
    </row>
    <row r="279">
      <c r="I279" s="165"/>
      <c r="J279" s="165"/>
      <c r="K279" s="165"/>
      <c r="L279" s="165"/>
      <c r="M279" s="165"/>
    </row>
    <row r="280">
      <c r="I280" s="165"/>
      <c r="J280" s="165"/>
      <c r="K280" s="165"/>
      <c r="L280" s="165"/>
      <c r="M280" s="165"/>
    </row>
    <row r="281">
      <c r="I281" s="165"/>
      <c r="J281" s="165"/>
      <c r="K281" s="165"/>
      <c r="L281" s="165"/>
      <c r="M281" s="165"/>
    </row>
    <row r="282">
      <c r="I282" s="165"/>
      <c r="J282" s="165"/>
      <c r="K282" s="165"/>
      <c r="L282" s="165"/>
      <c r="M282" s="165"/>
    </row>
    <row r="283">
      <c r="I283" s="165"/>
      <c r="J283" s="165"/>
      <c r="K283" s="165"/>
      <c r="L283" s="165"/>
      <c r="M283" s="165"/>
    </row>
    <row r="284">
      <c r="I284" s="165"/>
      <c r="J284" s="165"/>
      <c r="K284" s="165"/>
      <c r="L284" s="165"/>
      <c r="M284" s="165"/>
    </row>
    <row r="285">
      <c r="I285" s="165"/>
      <c r="J285" s="165"/>
      <c r="K285" s="165"/>
      <c r="L285" s="165"/>
      <c r="M285" s="165"/>
    </row>
    <row r="286">
      <c r="I286" s="165"/>
      <c r="J286" s="165"/>
      <c r="K286" s="165"/>
      <c r="L286" s="165"/>
      <c r="M286" s="165"/>
    </row>
    <row r="287">
      <c r="I287" s="165"/>
      <c r="J287" s="165"/>
      <c r="K287" s="165"/>
      <c r="L287" s="165"/>
      <c r="M287" s="165"/>
    </row>
    <row r="288">
      <c r="I288" s="165"/>
      <c r="J288" s="165"/>
      <c r="K288" s="165"/>
      <c r="L288" s="165"/>
      <c r="M288" s="165"/>
    </row>
    <row r="289">
      <c r="I289" s="165"/>
      <c r="J289" s="165"/>
      <c r="K289" s="165"/>
      <c r="L289" s="165"/>
      <c r="M289" s="165"/>
    </row>
    <row r="290">
      <c r="I290" s="165"/>
      <c r="J290" s="165"/>
      <c r="K290" s="165"/>
      <c r="L290" s="165"/>
      <c r="M290" s="165"/>
    </row>
    <row r="291">
      <c r="I291" s="165"/>
      <c r="J291" s="165"/>
      <c r="K291" s="165"/>
      <c r="L291" s="165"/>
      <c r="M291" s="165"/>
    </row>
    <row r="292">
      <c r="I292" s="165"/>
      <c r="J292" s="165"/>
      <c r="K292" s="165"/>
      <c r="L292" s="165"/>
      <c r="M292" s="165"/>
    </row>
    <row r="293">
      <c r="I293" s="165"/>
      <c r="J293" s="165"/>
      <c r="K293" s="165"/>
      <c r="L293" s="165"/>
      <c r="M293" s="165"/>
    </row>
    <row r="294">
      <c r="I294" s="165"/>
      <c r="J294" s="165"/>
      <c r="K294" s="165"/>
      <c r="L294" s="165"/>
      <c r="M294" s="165"/>
    </row>
    <row r="295">
      <c r="I295" s="165"/>
      <c r="J295" s="165"/>
      <c r="K295" s="165"/>
      <c r="L295" s="165"/>
      <c r="M295" s="165"/>
    </row>
    <row r="296">
      <c r="I296" s="165"/>
      <c r="J296" s="165"/>
      <c r="K296" s="165"/>
      <c r="L296" s="165"/>
      <c r="M296" s="165"/>
    </row>
    <row r="297">
      <c r="I297" s="165"/>
      <c r="J297" s="165"/>
      <c r="K297" s="165"/>
      <c r="L297" s="165"/>
      <c r="M297" s="165"/>
    </row>
    <row r="298">
      <c r="I298" s="165"/>
      <c r="J298" s="165"/>
      <c r="K298" s="165"/>
      <c r="L298" s="165"/>
      <c r="M298" s="165"/>
    </row>
    <row r="299">
      <c r="I299" s="165"/>
      <c r="J299" s="165"/>
      <c r="K299" s="165"/>
      <c r="L299" s="165"/>
      <c r="M299" s="165"/>
    </row>
    <row r="300">
      <c r="I300" s="165"/>
      <c r="J300" s="165"/>
      <c r="K300" s="165"/>
      <c r="L300" s="165"/>
      <c r="M300" s="165"/>
    </row>
    <row r="301">
      <c r="I301" s="165"/>
      <c r="J301" s="165"/>
      <c r="K301" s="165"/>
      <c r="L301" s="165"/>
      <c r="M301" s="165"/>
    </row>
    <row r="302">
      <c r="I302" s="165"/>
      <c r="J302" s="165"/>
      <c r="K302" s="165"/>
      <c r="L302" s="165"/>
      <c r="M302" s="165"/>
    </row>
    <row r="303">
      <c r="I303" s="165"/>
      <c r="J303" s="165"/>
      <c r="K303" s="165"/>
      <c r="L303" s="165"/>
      <c r="M303" s="165"/>
    </row>
    <row r="304">
      <c r="I304" s="165"/>
      <c r="J304" s="165"/>
      <c r="K304" s="165"/>
      <c r="L304" s="165"/>
      <c r="M304" s="165"/>
    </row>
    <row r="305">
      <c r="I305" s="165"/>
      <c r="J305" s="165"/>
      <c r="K305" s="165"/>
      <c r="L305" s="165"/>
      <c r="M305" s="165"/>
    </row>
    <row r="306">
      <c r="I306" s="165"/>
      <c r="J306" s="165"/>
      <c r="K306" s="165"/>
      <c r="L306" s="165"/>
      <c r="M306" s="165"/>
    </row>
    <row r="307">
      <c r="I307" s="165"/>
      <c r="J307" s="165"/>
      <c r="K307" s="165"/>
      <c r="L307" s="165"/>
      <c r="M307" s="165"/>
    </row>
    <row r="308">
      <c r="I308" s="165"/>
      <c r="J308" s="165"/>
      <c r="K308" s="165"/>
      <c r="L308" s="165"/>
      <c r="M308" s="165"/>
    </row>
    <row r="309">
      <c r="I309" s="165"/>
      <c r="J309" s="165"/>
      <c r="K309" s="165"/>
      <c r="L309" s="165"/>
      <c r="M309" s="165"/>
    </row>
    <row r="310">
      <c r="I310" s="165"/>
      <c r="J310" s="165"/>
      <c r="K310" s="165"/>
      <c r="L310" s="165"/>
      <c r="M310" s="165"/>
    </row>
    <row r="311">
      <c r="I311" s="165"/>
      <c r="J311" s="165"/>
      <c r="K311" s="165"/>
      <c r="L311" s="165"/>
      <c r="M311" s="165"/>
    </row>
    <row r="312">
      <c r="I312" s="165"/>
      <c r="J312" s="165"/>
      <c r="K312" s="165"/>
      <c r="L312" s="165"/>
      <c r="M312" s="165"/>
    </row>
    <row r="313">
      <c r="I313" s="165"/>
      <c r="J313" s="165"/>
      <c r="K313" s="165"/>
      <c r="L313" s="165"/>
      <c r="M313" s="165"/>
    </row>
    <row r="314">
      <c r="I314" s="165"/>
      <c r="J314" s="165"/>
      <c r="K314" s="165"/>
      <c r="L314" s="165"/>
      <c r="M314" s="165"/>
    </row>
    <row r="315">
      <c r="I315" s="165"/>
      <c r="J315" s="165"/>
      <c r="K315" s="165"/>
      <c r="L315" s="165"/>
      <c r="M315" s="165"/>
    </row>
    <row r="316">
      <c r="I316" s="165"/>
      <c r="J316" s="165"/>
      <c r="K316" s="165"/>
      <c r="L316" s="165"/>
      <c r="M316" s="165"/>
    </row>
    <row r="317">
      <c r="I317" s="165"/>
      <c r="J317" s="165"/>
      <c r="K317" s="165"/>
      <c r="L317" s="165"/>
      <c r="M317" s="165"/>
    </row>
    <row r="318">
      <c r="I318" s="165"/>
      <c r="J318" s="165"/>
      <c r="K318" s="165"/>
      <c r="L318" s="165"/>
      <c r="M318" s="165"/>
    </row>
    <row r="319">
      <c r="I319" s="165"/>
      <c r="J319" s="165"/>
      <c r="K319" s="165"/>
      <c r="L319" s="165"/>
      <c r="M319" s="165"/>
    </row>
    <row r="320">
      <c r="I320" s="165"/>
      <c r="J320" s="165"/>
      <c r="K320" s="165"/>
      <c r="L320" s="165"/>
      <c r="M320" s="165"/>
    </row>
    <row r="321">
      <c r="I321" s="165"/>
      <c r="J321" s="165"/>
      <c r="K321" s="165"/>
      <c r="L321" s="165"/>
      <c r="M321" s="165"/>
    </row>
    <row r="322">
      <c r="I322" s="165"/>
      <c r="J322" s="165"/>
      <c r="K322" s="165"/>
      <c r="L322" s="165"/>
      <c r="M322" s="165"/>
    </row>
    <row r="323">
      <c r="I323" s="165"/>
      <c r="J323" s="165"/>
      <c r="K323" s="165"/>
      <c r="L323" s="165"/>
      <c r="M323" s="165"/>
    </row>
    <row r="324">
      <c r="I324" s="165"/>
      <c r="J324" s="165"/>
      <c r="K324" s="165"/>
      <c r="L324" s="165"/>
      <c r="M324" s="165"/>
    </row>
    <row r="325">
      <c r="I325" s="165"/>
      <c r="J325" s="165"/>
      <c r="K325" s="165"/>
      <c r="L325" s="165"/>
      <c r="M325" s="165"/>
    </row>
    <row r="326">
      <c r="I326" s="165"/>
      <c r="J326" s="165"/>
      <c r="K326" s="165"/>
      <c r="L326" s="165"/>
      <c r="M326" s="165"/>
    </row>
    <row r="327">
      <c r="I327" s="165"/>
      <c r="J327" s="165"/>
      <c r="K327" s="165"/>
      <c r="L327" s="165"/>
      <c r="M327" s="165"/>
    </row>
    <row r="328">
      <c r="I328" s="165"/>
      <c r="J328" s="165"/>
      <c r="K328" s="165"/>
      <c r="L328" s="165"/>
      <c r="M328" s="165"/>
    </row>
    <row r="329">
      <c r="I329" s="165"/>
      <c r="J329" s="165"/>
      <c r="K329" s="165"/>
      <c r="L329" s="165"/>
      <c r="M329" s="165"/>
    </row>
    <row r="330">
      <c r="I330" s="165"/>
      <c r="J330" s="165"/>
      <c r="K330" s="165"/>
      <c r="L330" s="165"/>
      <c r="M330" s="165"/>
    </row>
    <row r="331">
      <c r="I331" s="165"/>
      <c r="J331" s="165"/>
      <c r="K331" s="165"/>
      <c r="L331" s="165"/>
      <c r="M331" s="165"/>
    </row>
    <row r="332">
      <c r="I332" s="165"/>
      <c r="J332" s="165"/>
      <c r="K332" s="165"/>
      <c r="L332" s="165"/>
      <c r="M332" s="165"/>
    </row>
    <row r="333">
      <c r="I333" s="165"/>
      <c r="J333" s="165"/>
      <c r="K333" s="165"/>
      <c r="L333" s="165"/>
      <c r="M333" s="165"/>
    </row>
    <row r="334">
      <c r="I334" s="165"/>
      <c r="J334" s="165"/>
      <c r="K334" s="165"/>
      <c r="L334" s="165"/>
      <c r="M334" s="165"/>
    </row>
    <row r="335">
      <c r="I335" s="165"/>
      <c r="J335" s="165"/>
      <c r="K335" s="165"/>
      <c r="L335" s="165"/>
      <c r="M335" s="165"/>
    </row>
    <row r="336">
      <c r="I336" s="165"/>
      <c r="J336" s="165"/>
      <c r="K336" s="165"/>
      <c r="L336" s="165"/>
      <c r="M336" s="165"/>
    </row>
    <row r="337">
      <c r="I337" s="165"/>
      <c r="J337" s="165"/>
      <c r="K337" s="165"/>
      <c r="L337" s="165"/>
      <c r="M337" s="165"/>
    </row>
    <row r="338">
      <c r="I338" s="165"/>
      <c r="J338" s="165"/>
      <c r="K338" s="165"/>
      <c r="L338" s="165"/>
      <c r="M338" s="165"/>
    </row>
    <row r="339">
      <c r="I339" s="165"/>
      <c r="J339" s="165"/>
      <c r="K339" s="165"/>
      <c r="L339" s="165"/>
      <c r="M339" s="165"/>
    </row>
    <row r="340">
      <c r="I340" s="165"/>
      <c r="J340" s="165"/>
      <c r="K340" s="165"/>
      <c r="L340" s="165"/>
      <c r="M340" s="165"/>
    </row>
    <row r="341">
      <c r="I341" s="165"/>
      <c r="J341" s="165"/>
      <c r="K341" s="165"/>
      <c r="L341" s="165"/>
      <c r="M341" s="165"/>
    </row>
    <row r="342">
      <c r="I342" s="165"/>
      <c r="J342" s="165"/>
      <c r="K342" s="165"/>
      <c r="L342" s="165"/>
      <c r="M342" s="165"/>
    </row>
    <row r="343">
      <c r="I343" s="165"/>
      <c r="J343" s="165"/>
      <c r="K343" s="165"/>
      <c r="L343" s="165"/>
      <c r="M343" s="165"/>
    </row>
    <row r="344">
      <c r="I344" s="165"/>
      <c r="J344" s="165"/>
      <c r="K344" s="165"/>
      <c r="L344" s="165"/>
      <c r="M344" s="165"/>
    </row>
    <row r="345">
      <c r="I345" s="165"/>
      <c r="J345" s="165"/>
      <c r="K345" s="165"/>
      <c r="L345" s="165"/>
      <c r="M345" s="165"/>
    </row>
    <row r="346">
      <c r="I346" s="165"/>
      <c r="J346" s="165"/>
      <c r="K346" s="165"/>
      <c r="L346" s="165"/>
      <c r="M346" s="165"/>
    </row>
    <row r="347">
      <c r="I347" s="165"/>
      <c r="J347" s="165"/>
      <c r="K347" s="165"/>
      <c r="L347" s="165"/>
      <c r="M347" s="165"/>
    </row>
    <row r="348">
      <c r="I348" s="165"/>
      <c r="J348" s="165"/>
      <c r="K348" s="165"/>
      <c r="L348" s="165"/>
      <c r="M348" s="165"/>
    </row>
    <row r="349">
      <c r="I349" s="165"/>
      <c r="J349" s="165"/>
      <c r="K349" s="165"/>
      <c r="L349" s="165"/>
      <c r="M349" s="165"/>
    </row>
    <row r="350">
      <c r="I350" s="165"/>
      <c r="J350" s="165"/>
      <c r="K350" s="165"/>
      <c r="L350" s="165"/>
      <c r="M350" s="165"/>
    </row>
    <row r="351">
      <c r="I351" s="165"/>
      <c r="J351" s="165"/>
      <c r="K351" s="165"/>
      <c r="L351" s="165"/>
      <c r="M351" s="165"/>
    </row>
    <row r="352">
      <c r="I352" s="165"/>
      <c r="J352" s="165"/>
      <c r="K352" s="165"/>
      <c r="L352" s="165"/>
      <c r="M352" s="165"/>
    </row>
    <row r="353">
      <c r="I353" s="165"/>
      <c r="J353" s="165"/>
      <c r="K353" s="165"/>
      <c r="L353" s="165"/>
      <c r="M353" s="165"/>
    </row>
    <row r="354">
      <c r="I354" s="165"/>
      <c r="J354" s="165"/>
      <c r="K354" s="165"/>
      <c r="L354" s="165"/>
      <c r="M354" s="165"/>
    </row>
    <row r="355">
      <c r="I355" s="165"/>
      <c r="J355" s="165"/>
      <c r="K355" s="165"/>
      <c r="L355" s="165"/>
      <c r="M355" s="165"/>
    </row>
    <row r="356">
      <c r="I356" s="165"/>
      <c r="J356" s="165"/>
      <c r="K356" s="165"/>
      <c r="L356" s="165"/>
      <c r="M356" s="165"/>
    </row>
    <row r="357">
      <c r="I357" s="165"/>
      <c r="J357" s="165"/>
      <c r="K357" s="165"/>
      <c r="L357" s="165"/>
      <c r="M357" s="165"/>
    </row>
    <row r="358">
      <c r="I358" s="165"/>
      <c r="J358" s="165"/>
      <c r="K358" s="165"/>
      <c r="L358" s="165"/>
      <c r="M358" s="165"/>
    </row>
    <row r="359">
      <c r="I359" s="165"/>
      <c r="J359" s="165"/>
      <c r="K359" s="165"/>
      <c r="L359" s="165"/>
      <c r="M359" s="165"/>
    </row>
    <row r="360">
      <c r="I360" s="165"/>
      <c r="J360" s="165"/>
      <c r="K360" s="165"/>
      <c r="L360" s="165"/>
      <c r="M360" s="165"/>
    </row>
    <row r="361">
      <c r="I361" s="165"/>
      <c r="J361" s="165"/>
      <c r="K361" s="165"/>
      <c r="L361" s="165"/>
      <c r="M361" s="165"/>
    </row>
    <row r="362">
      <c r="I362" s="165"/>
      <c r="J362" s="165"/>
      <c r="K362" s="165"/>
      <c r="L362" s="165"/>
      <c r="M362" s="165"/>
    </row>
    <row r="363">
      <c r="I363" s="165"/>
      <c r="J363" s="165"/>
      <c r="K363" s="165"/>
      <c r="L363" s="165"/>
      <c r="M363" s="165"/>
    </row>
    <row r="364">
      <c r="I364" s="165"/>
      <c r="J364" s="165"/>
      <c r="K364" s="165"/>
      <c r="L364" s="165"/>
      <c r="M364" s="165"/>
    </row>
    <row r="365">
      <c r="I365" s="165"/>
      <c r="J365" s="165"/>
      <c r="K365" s="165"/>
      <c r="L365" s="165"/>
      <c r="M365" s="165"/>
    </row>
    <row r="366">
      <c r="I366" s="165"/>
      <c r="J366" s="165"/>
      <c r="K366" s="165"/>
      <c r="L366" s="165"/>
      <c r="M366" s="165"/>
    </row>
    <row r="367">
      <c r="I367" s="165"/>
      <c r="J367" s="165"/>
      <c r="K367" s="165"/>
      <c r="L367" s="165"/>
      <c r="M367" s="165"/>
    </row>
    <row r="368">
      <c r="I368" s="165"/>
      <c r="J368" s="165"/>
      <c r="K368" s="165"/>
      <c r="L368" s="165"/>
      <c r="M368" s="165"/>
    </row>
    <row r="369">
      <c r="I369" s="165"/>
      <c r="J369" s="165"/>
      <c r="K369" s="165"/>
      <c r="L369" s="165"/>
      <c r="M369" s="165"/>
    </row>
    <row r="370">
      <c r="I370" s="165"/>
      <c r="J370" s="165"/>
      <c r="K370" s="165"/>
      <c r="L370" s="165"/>
      <c r="M370" s="165"/>
    </row>
    <row r="371">
      <c r="I371" s="165"/>
      <c r="J371" s="165"/>
      <c r="K371" s="165"/>
      <c r="L371" s="165"/>
      <c r="M371" s="165"/>
    </row>
    <row r="372">
      <c r="I372" s="165"/>
      <c r="J372" s="165"/>
      <c r="K372" s="165"/>
      <c r="L372" s="165"/>
      <c r="M372" s="165"/>
    </row>
    <row r="373">
      <c r="I373" s="165"/>
      <c r="J373" s="165"/>
      <c r="K373" s="165"/>
      <c r="L373" s="165"/>
      <c r="M373" s="165"/>
    </row>
    <row r="374">
      <c r="I374" s="165"/>
      <c r="J374" s="165"/>
      <c r="K374" s="165"/>
      <c r="L374" s="165"/>
      <c r="M374" s="165"/>
    </row>
    <row r="375">
      <c r="I375" s="165"/>
      <c r="J375" s="165"/>
      <c r="K375" s="165"/>
      <c r="L375" s="165"/>
      <c r="M375" s="165"/>
    </row>
    <row r="376">
      <c r="I376" s="165"/>
      <c r="J376" s="165"/>
      <c r="K376" s="165"/>
      <c r="L376" s="165"/>
      <c r="M376" s="165"/>
    </row>
    <row r="377">
      <c r="I377" s="165"/>
      <c r="J377" s="165"/>
      <c r="K377" s="165"/>
      <c r="L377" s="165"/>
      <c r="M377" s="165"/>
    </row>
    <row r="378">
      <c r="I378" s="165"/>
      <c r="J378" s="165"/>
      <c r="K378" s="165"/>
      <c r="L378" s="165"/>
      <c r="M378" s="165"/>
    </row>
    <row r="379">
      <c r="I379" s="165"/>
      <c r="J379" s="165"/>
      <c r="K379" s="165"/>
      <c r="L379" s="165"/>
      <c r="M379" s="165"/>
    </row>
    <row r="380">
      <c r="I380" s="165"/>
      <c r="J380" s="165"/>
      <c r="K380" s="165"/>
      <c r="L380" s="165"/>
      <c r="M380" s="165"/>
    </row>
    <row r="381">
      <c r="I381" s="165"/>
      <c r="J381" s="165"/>
      <c r="K381" s="165"/>
      <c r="L381" s="165"/>
      <c r="M381" s="165"/>
    </row>
    <row r="382">
      <c r="I382" s="165"/>
      <c r="J382" s="165"/>
      <c r="K382" s="165"/>
      <c r="L382" s="165"/>
      <c r="M382" s="165"/>
    </row>
    <row r="383">
      <c r="I383" s="165"/>
      <c r="J383" s="165"/>
      <c r="K383" s="165"/>
      <c r="L383" s="165"/>
      <c r="M383" s="165"/>
    </row>
    <row r="384">
      <c r="I384" s="165"/>
      <c r="J384" s="165"/>
      <c r="K384" s="165"/>
      <c r="L384" s="165"/>
      <c r="M384" s="165"/>
    </row>
    <row r="385">
      <c r="I385" s="165"/>
      <c r="J385" s="165"/>
      <c r="K385" s="165"/>
      <c r="L385" s="165"/>
      <c r="M385" s="165"/>
    </row>
    <row r="386">
      <c r="I386" s="165"/>
      <c r="J386" s="165"/>
      <c r="K386" s="165"/>
      <c r="L386" s="165"/>
      <c r="M386" s="165"/>
    </row>
    <row r="387">
      <c r="I387" s="165"/>
      <c r="J387" s="165"/>
      <c r="K387" s="165"/>
      <c r="L387" s="165"/>
      <c r="M387" s="165"/>
    </row>
    <row r="388">
      <c r="I388" s="165"/>
      <c r="J388" s="165"/>
      <c r="K388" s="165"/>
      <c r="L388" s="165"/>
      <c r="M388" s="165"/>
    </row>
    <row r="389">
      <c r="I389" s="165"/>
      <c r="J389" s="165"/>
      <c r="K389" s="165"/>
      <c r="L389" s="165"/>
      <c r="M389" s="165"/>
    </row>
    <row r="390">
      <c r="I390" s="165"/>
      <c r="J390" s="165"/>
      <c r="K390" s="165"/>
      <c r="L390" s="165"/>
      <c r="M390" s="165"/>
    </row>
    <row r="391">
      <c r="I391" s="165"/>
      <c r="J391" s="165"/>
      <c r="K391" s="165"/>
      <c r="L391" s="165"/>
      <c r="M391" s="165"/>
    </row>
    <row r="392">
      <c r="I392" s="165"/>
      <c r="J392" s="165"/>
      <c r="K392" s="165"/>
      <c r="L392" s="165"/>
      <c r="M392" s="165"/>
    </row>
    <row r="393">
      <c r="I393" s="165"/>
      <c r="J393" s="165"/>
      <c r="K393" s="165"/>
      <c r="L393" s="165"/>
      <c r="M393" s="165"/>
    </row>
    <row r="394">
      <c r="I394" s="165"/>
      <c r="J394" s="165"/>
      <c r="K394" s="165"/>
      <c r="L394" s="165"/>
      <c r="M394" s="165"/>
    </row>
    <row r="395">
      <c r="I395" s="165"/>
      <c r="J395" s="165"/>
      <c r="K395" s="165"/>
      <c r="L395" s="165"/>
      <c r="M395" s="165"/>
    </row>
    <row r="396">
      <c r="I396" s="165"/>
      <c r="J396" s="165"/>
      <c r="K396" s="165"/>
      <c r="L396" s="165"/>
      <c r="M396" s="165"/>
    </row>
    <row r="397">
      <c r="I397" s="165"/>
      <c r="J397" s="165"/>
      <c r="K397" s="165"/>
      <c r="L397" s="165"/>
      <c r="M397" s="165"/>
    </row>
    <row r="398">
      <c r="I398" s="165"/>
      <c r="J398" s="165"/>
      <c r="K398" s="165"/>
      <c r="L398" s="165"/>
      <c r="M398" s="165"/>
    </row>
    <row r="399">
      <c r="I399" s="165"/>
      <c r="J399" s="165"/>
      <c r="K399" s="165"/>
      <c r="L399" s="165"/>
      <c r="M399" s="165"/>
    </row>
    <row r="400">
      <c r="I400" s="165"/>
      <c r="J400" s="165"/>
      <c r="K400" s="165"/>
      <c r="L400" s="165"/>
      <c r="M400" s="165"/>
    </row>
    <row r="401">
      <c r="I401" s="165"/>
      <c r="J401" s="165"/>
      <c r="K401" s="165"/>
      <c r="L401" s="165"/>
      <c r="M401" s="165"/>
    </row>
    <row r="402">
      <c r="I402" s="165"/>
      <c r="J402" s="165"/>
      <c r="K402" s="165"/>
      <c r="L402" s="165"/>
      <c r="M402" s="165"/>
    </row>
    <row r="403">
      <c r="I403" s="165"/>
      <c r="J403" s="165"/>
      <c r="K403" s="165"/>
      <c r="L403" s="165"/>
      <c r="M403" s="165"/>
    </row>
    <row r="404">
      <c r="I404" s="165"/>
      <c r="J404" s="165"/>
      <c r="K404" s="165"/>
      <c r="L404" s="165"/>
      <c r="M404" s="165"/>
    </row>
    <row r="405">
      <c r="I405" s="165"/>
      <c r="J405" s="165"/>
      <c r="K405" s="165"/>
      <c r="L405" s="165"/>
      <c r="M405" s="165"/>
    </row>
    <row r="406">
      <c r="I406" s="165"/>
      <c r="J406" s="165"/>
      <c r="K406" s="165"/>
      <c r="L406" s="165"/>
      <c r="M406" s="165"/>
    </row>
    <row r="407">
      <c r="I407" s="165"/>
      <c r="J407" s="165"/>
      <c r="K407" s="165"/>
      <c r="L407" s="165"/>
      <c r="M407" s="165"/>
    </row>
    <row r="408">
      <c r="I408" s="165"/>
      <c r="J408" s="165"/>
      <c r="K408" s="165"/>
      <c r="L408" s="165"/>
      <c r="M408" s="165"/>
    </row>
    <row r="409">
      <c r="I409" s="165"/>
      <c r="J409" s="165"/>
      <c r="K409" s="165"/>
      <c r="L409" s="165"/>
      <c r="M409" s="165"/>
    </row>
    <row r="410">
      <c r="I410" s="165"/>
      <c r="J410" s="165"/>
      <c r="K410" s="165"/>
      <c r="L410" s="165"/>
      <c r="M410" s="165"/>
    </row>
    <row r="411">
      <c r="I411" s="165"/>
      <c r="J411" s="165"/>
      <c r="K411" s="165"/>
      <c r="L411" s="165"/>
      <c r="M411" s="165"/>
    </row>
    <row r="412">
      <c r="I412" s="165"/>
      <c r="J412" s="165"/>
      <c r="K412" s="165"/>
      <c r="L412" s="165"/>
      <c r="M412" s="165"/>
    </row>
    <row r="413">
      <c r="I413" s="165"/>
      <c r="J413" s="165"/>
      <c r="K413" s="165"/>
      <c r="L413" s="165"/>
      <c r="M413" s="165"/>
    </row>
    <row r="414">
      <c r="I414" s="165"/>
      <c r="J414" s="165"/>
      <c r="K414" s="165"/>
      <c r="L414" s="165"/>
      <c r="M414" s="165"/>
    </row>
    <row r="415">
      <c r="I415" s="165"/>
      <c r="J415" s="165"/>
      <c r="K415" s="165"/>
      <c r="L415" s="165"/>
      <c r="M415" s="165"/>
    </row>
    <row r="416">
      <c r="I416" s="165"/>
      <c r="J416" s="165"/>
      <c r="K416" s="165"/>
      <c r="L416" s="165"/>
      <c r="M416" s="165"/>
    </row>
    <row r="417">
      <c r="I417" s="165"/>
      <c r="J417" s="165"/>
      <c r="K417" s="165"/>
      <c r="L417" s="165"/>
      <c r="M417" s="165"/>
    </row>
    <row r="418">
      <c r="I418" s="165"/>
      <c r="J418" s="165"/>
      <c r="K418" s="165"/>
      <c r="L418" s="165"/>
      <c r="M418" s="165"/>
    </row>
    <row r="419">
      <c r="I419" s="165"/>
      <c r="J419" s="165"/>
      <c r="K419" s="165"/>
      <c r="L419" s="165"/>
      <c r="M419" s="165"/>
    </row>
    <row r="420">
      <c r="I420" s="165"/>
      <c r="J420" s="165"/>
      <c r="K420" s="165"/>
      <c r="L420" s="165"/>
      <c r="M420" s="165"/>
    </row>
    <row r="421">
      <c r="I421" s="165"/>
      <c r="J421" s="165"/>
      <c r="K421" s="165"/>
      <c r="L421" s="165"/>
      <c r="M421" s="165"/>
    </row>
    <row r="422">
      <c r="I422" s="165"/>
      <c r="J422" s="165"/>
      <c r="K422" s="165"/>
      <c r="L422" s="165"/>
      <c r="M422" s="165"/>
    </row>
    <row r="423">
      <c r="I423" s="165"/>
      <c r="J423" s="165"/>
      <c r="K423" s="165"/>
      <c r="L423" s="165"/>
      <c r="M423" s="165"/>
    </row>
    <row r="424">
      <c r="I424" s="165"/>
      <c r="J424" s="165"/>
      <c r="K424" s="165"/>
      <c r="L424" s="165"/>
      <c r="M424" s="165"/>
    </row>
    <row r="425">
      <c r="I425" s="165"/>
      <c r="J425" s="165"/>
      <c r="K425" s="165"/>
      <c r="L425" s="165"/>
      <c r="M425" s="165"/>
    </row>
    <row r="426">
      <c r="I426" s="165"/>
      <c r="J426" s="165"/>
      <c r="K426" s="165"/>
      <c r="L426" s="165"/>
      <c r="M426" s="165"/>
    </row>
    <row r="427">
      <c r="I427" s="165"/>
      <c r="J427" s="165"/>
      <c r="K427" s="165"/>
      <c r="L427" s="165"/>
      <c r="M427" s="165"/>
    </row>
    <row r="428">
      <c r="I428" s="165"/>
      <c r="J428" s="165"/>
      <c r="K428" s="165"/>
      <c r="L428" s="165"/>
      <c r="M428" s="165"/>
    </row>
    <row r="429">
      <c r="I429" s="165"/>
      <c r="J429" s="165"/>
      <c r="K429" s="165"/>
      <c r="L429" s="165"/>
      <c r="M429" s="165"/>
    </row>
    <row r="430">
      <c r="I430" s="165"/>
      <c r="J430" s="165"/>
      <c r="K430" s="165"/>
      <c r="L430" s="165"/>
      <c r="M430" s="165"/>
    </row>
    <row r="431">
      <c r="I431" s="165"/>
      <c r="J431" s="165"/>
      <c r="K431" s="165"/>
      <c r="L431" s="165"/>
      <c r="M431" s="165"/>
    </row>
    <row r="432">
      <c r="I432" s="165"/>
      <c r="J432" s="165"/>
      <c r="K432" s="165"/>
      <c r="L432" s="165"/>
      <c r="M432" s="165"/>
    </row>
    <row r="433">
      <c r="I433" s="165"/>
      <c r="J433" s="165"/>
      <c r="K433" s="165"/>
      <c r="L433" s="165"/>
      <c r="M433" s="165"/>
    </row>
    <row r="434">
      <c r="I434" s="165"/>
      <c r="J434" s="165"/>
      <c r="K434" s="165"/>
      <c r="L434" s="165"/>
      <c r="M434" s="165"/>
    </row>
    <row r="435">
      <c r="I435" s="165"/>
      <c r="J435" s="165"/>
      <c r="K435" s="165"/>
      <c r="L435" s="165"/>
      <c r="M435" s="165"/>
    </row>
    <row r="436">
      <c r="I436" s="165"/>
      <c r="J436" s="165"/>
      <c r="K436" s="165"/>
      <c r="L436" s="165"/>
      <c r="M436" s="165"/>
    </row>
    <row r="437">
      <c r="I437" s="165"/>
      <c r="J437" s="165"/>
      <c r="K437" s="165"/>
      <c r="L437" s="165"/>
      <c r="M437" s="165"/>
    </row>
    <row r="438">
      <c r="I438" s="165"/>
      <c r="J438" s="165"/>
      <c r="K438" s="165"/>
      <c r="L438" s="165"/>
      <c r="M438" s="165"/>
    </row>
    <row r="439">
      <c r="I439" s="165"/>
      <c r="J439" s="165"/>
      <c r="K439" s="165"/>
      <c r="L439" s="165"/>
      <c r="M439" s="165"/>
    </row>
    <row r="440">
      <c r="I440" s="165"/>
      <c r="J440" s="165"/>
      <c r="K440" s="165"/>
      <c r="L440" s="165"/>
      <c r="M440" s="165"/>
    </row>
    <row r="441">
      <c r="I441" s="165"/>
      <c r="J441" s="165"/>
      <c r="K441" s="165"/>
      <c r="L441" s="165"/>
      <c r="M441" s="165"/>
    </row>
    <row r="442">
      <c r="I442" s="165"/>
      <c r="J442" s="165"/>
      <c r="K442" s="165"/>
      <c r="L442" s="165"/>
      <c r="M442" s="165"/>
    </row>
    <row r="443">
      <c r="I443" s="165"/>
      <c r="J443" s="165"/>
      <c r="K443" s="165"/>
      <c r="L443" s="165"/>
      <c r="M443" s="165"/>
    </row>
    <row r="444">
      <c r="I444" s="165"/>
      <c r="J444" s="165"/>
      <c r="K444" s="165"/>
      <c r="L444" s="165"/>
      <c r="M444" s="165"/>
    </row>
    <row r="445">
      <c r="I445" s="165"/>
      <c r="J445" s="165"/>
      <c r="K445" s="165"/>
      <c r="L445" s="165"/>
      <c r="M445" s="165"/>
    </row>
    <row r="446">
      <c r="I446" s="165"/>
      <c r="J446" s="165"/>
      <c r="K446" s="165"/>
      <c r="L446" s="165"/>
      <c r="M446" s="165"/>
    </row>
    <row r="447">
      <c r="I447" s="165"/>
      <c r="J447" s="165"/>
      <c r="K447" s="165"/>
      <c r="L447" s="165"/>
      <c r="M447" s="165"/>
    </row>
    <row r="448">
      <c r="I448" s="165"/>
      <c r="J448" s="165"/>
      <c r="K448" s="165"/>
      <c r="L448" s="165"/>
      <c r="M448" s="165"/>
    </row>
    <row r="449">
      <c r="I449" s="165"/>
      <c r="J449" s="165"/>
      <c r="K449" s="165"/>
      <c r="L449" s="165"/>
      <c r="M449" s="165"/>
    </row>
    <row r="450">
      <c r="I450" s="165"/>
      <c r="J450" s="165"/>
      <c r="K450" s="165"/>
      <c r="L450" s="165"/>
      <c r="M450" s="165"/>
    </row>
    <row r="451">
      <c r="I451" s="165"/>
      <c r="J451" s="165"/>
      <c r="K451" s="165"/>
      <c r="L451" s="165"/>
      <c r="M451" s="165"/>
    </row>
    <row r="452">
      <c r="I452" s="165"/>
      <c r="J452" s="165"/>
      <c r="K452" s="165"/>
      <c r="L452" s="165"/>
      <c r="M452" s="165"/>
    </row>
    <row r="453">
      <c r="I453" s="165"/>
      <c r="J453" s="165"/>
      <c r="K453" s="165"/>
      <c r="L453" s="165"/>
      <c r="M453" s="165"/>
    </row>
    <row r="454">
      <c r="I454" s="165"/>
      <c r="J454" s="165"/>
      <c r="K454" s="165"/>
      <c r="L454" s="165"/>
      <c r="M454" s="165"/>
    </row>
    <row r="455">
      <c r="I455" s="165"/>
      <c r="J455" s="165"/>
      <c r="K455" s="165"/>
      <c r="L455" s="165"/>
      <c r="M455" s="165"/>
    </row>
    <row r="456">
      <c r="I456" s="165"/>
      <c r="J456" s="165"/>
      <c r="K456" s="165"/>
      <c r="L456" s="165"/>
      <c r="M456" s="165"/>
    </row>
    <row r="457">
      <c r="I457" s="165"/>
      <c r="J457" s="165"/>
      <c r="K457" s="165"/>
      <c r="L457" s="165"/>
      <c r="M457" s="165"/>
    </row>
    <row r="458">
      <c r="I458" s="165"/>
      <c r="J458" s="165"/>
      <c r="K458" s="165"/>
      <c r="L458" s="165"/>
      <c r="M458" s="165"/>
    </row>
    <row r="459">
      <c r="I459" s="165"/>
      <c r="J459" s="165"/>
      <c r="K459" s="165"/>
      <c r="L459" s="165"/>
      <c r="M459" s="165"/>
    </row>
    <row r="460">
      <c r="I460" s="165"/>
      <c r="J460" s="165"/>
      <c r="K460" s="165"/>
      <c r="L460" s="165"/>
      <c r="M460" s="165"/>
    </row>
    <row r="461">
      <c r="I461" s="165"/>
      <c r="J461" s="165"/>
      <c r="K461" s="165"/>
      <c r="L461" s="165"/>
      <c r="M461" s="165"/>
    </row>
    <row r="462">
      <c r="I462" s="165"/>
      <c r="J462" s="165"/>
      <c r="K462" s="165"/>
      <c r="L462" s="165"/>
      <c r="M462" s="165"/>
    </row>
    <row r="463">
      <c r="I463" s="165"/>
      <c r="J463" s="165"/>
      <c r="K463" s="165"/>
      <c r="L463" s="165"/>
      <c r="M463" s="165"/>
    </row>
    <row r="464">
      <c r="I464" s="165"/>
      <c r="J464" s="165"/>
      <c r="K464" s="165"/>
      <c r="L464" s="165"/>
      <c r="M464" s="165"/>
    </row>
    <row r="465">
      <c r="I465" s="165"/>
      <c r="J465" s="165"/>
      <c r="K465" s="165"/>
      <c r="L465" s="165"/>
      <c r="M465" s="165"/>
    </row>
    <row r="466">
      <c r="I466" s="165"/>
      <c r="J466" s="165"/>
      <c r="K466" s="165"/>
      <c r="L466" s="165"/>
      <c r="M466" s="165"/>
    </row>
    <row r="467">
      <c r="I467" s="165"/>
      <c r="J467" s="165"/>
      <c r="K467" s="165"/>
      <c r="L467" s="165"/>
      <c r="M467" s="165"/>
    </row>
    <row r="468">
      <c r="I468" s="165"/>
      <c r="J468" s="165"/>
      <c r="K468" s="165"/>
      <c r="L468" s="165"/>
      <c r="M468" s="165"/>
    </row>
    <row r="469">
      <c r="I469" s="165"/>
      <c r="J469" s="165"/>
      <c r="K469" s="165"/>
      <c r="L469" s="165"/>
      <c r="M469" s="165"/>
    </row>
    <row r="470">
      <c r="I470" s="165"/>
      <c r="J470" s="165"/>
      <c r="K470" s="165"/>
      <c r="L470" s="165"/>
      <c r="M470" s="165"/>
    </row>
    <row r="471">
      <c r="I471" s="165"/>
      <c r="J471" s="165"/>
      <c r="K471" s="165"/>
      <c r="L471" s="165"/>
      <c r="M471" s="165"/>
    </row>
    <row r="472">
      <c r="I472" s="165"/>
      <c r="J472" s="165"/>
      <c r="K472" s="165"/>
      <c r="L472" s="165"/>
      <c r="M472" s="165"/>
    </row>
    <row r="473">
      <c r="I473" s="165"/>
      <c r="J473" s="165"/>
      <c r="K473" s="165"/>
      <c r="L473" s="165"/>
      <c r="M473" s="165"/>
    </row>
    <row r="474">
      <c r="I474" s="165"/>
      <c r="J474" s="165"/>
      <c r="K474" s="165"/>
      <c r="L474" s="165"/>
      <c r="M474" s="165"/>
    </row>
    <row r="475">
      <c r="I475" s="165"/>
      <c r="J475" s="165"/>
      <c r="K475" s="165"/>
      <c r="L475" s="165"/>
      <c r="M475" s="165"/>
    </row>
    <row r="476">
      <c r="I476" s="165"/>
      <c r="J476" s="165"/>
      <c r="K476" s="165"/>
      <c r="L476" s="165"/>
      <c r="M476" s="165"/>
    </row>
    <row r="477">
      <c r="I477" s="165"/>
      <c r="J477" s="165"/>
      <c r="K477" s="165"/>
      <c r="L477" s="165"/>
      <c r="M477" s="165"/>
    </row>
    <row r="478">
      <c r="I478" s="165"/>
      <c r="J478" s="165"/>
      <c r="K478" s="165"/>
      <c r="L478" s="165"/>
      <c r="M478" s="165"/>
    </row>
    <row r="479">
      <c r="I479" s="165"/>
      <c r="J479" s="165"/>
      <c r="K479" s="165"/>
      <c r="L479" s="165"/>
      <c r="M479" s="165"/>
    </row>
    <row r="480">
      <c r="I480" s="165"/>
      <c r="J480" s="165"/>
      <c r="K480" s="165"/>
      <c r="L480" s="165"/>
      <c r="M480" s="165"/>
    </row>
    <row r="481">
      <c r="I481" s="165"/>
      <c r="J481" s="165"/>
      <c r="K481" s="165"/>
      <c r="L481" s="165"/>
      <c r="M481" s="165"/>
    </row>
    <row r="482">
      <c r="I482" s="165"/>
      <c r="J482" s="165"/>
      <c r="K482" s="165"/>
      <c r="L482" s="165"/>
      <c r="M482" s="165"/>
    </row>
    <row r="483">
      <c r="I483" s="165"/>
      <c r="J483" s="165"/>
      <c r="K483" s="165"/>
      <c r="L483" s="165"/>
      <c r="M483" s="165"/>
    </row>
    <row r="484">
      <c r="I484" s="165"/>
      <c r="J484" s="165"/>
      <c r="K484" s="165"/>
      <c r="L484" s="165"/>
      <c r="M484" s="165"/>
    </row>
    <row r="485">
      <c r="I485" s="165"/>
      <c r="J485" s="165"/>
      <c r="K485" s="165"/>
      <c r="L485" s="165"/>
      <c r="M485" s="165"/>
    </row>
    <row r="486">
      <c r="I486" s="165"/>
      <c r="J486" s="165"/>
      <c r="K486" s="165"/>
      <c r="L486" s="165"/>
      <c r="M486" s="165"/>
    </row>
    <row r="487">
      <c r="I487" s="165"/>
      <c r="J487" s="165"/>
      <c r="K487" s="165"/>
      <c r="L487" s="165"/>
      <c r="M487" s="165"/>
    </row>
    <row r="488">
      <c r="I488" s="165"/>
      <c r="J488" s="165"/>
      <c r="K488" s="165"/>
      <c r="L488" s="165"/>
      <c r="M488" s="165"/>
    </row>
    <row r="489">
      <c r="I489" s="165"/>
      <c r="J489" s="165"/>
      <c r="K489" s="165"/>
      <c r="L489" s="165"/>
      <c r="M489" s="165"/>
    </row>
    <row r="490">
      <c r="I490" s="165"/>
      <c r="J490" s="165"/>
      <c r="K490" s="165"/>
      <c r="L490" s="165"/>
      <c r="M490" s="165"/>
    </row>
    <row r="491">
      <c r="I491" s="165"/>
      <c r="J491" s="165"/>
      <c r="K491" s="165"/>
      <c r="L491" s="165"/>
      <c r="M491" s="165"/>
    </row>
    <row r="492">
      <c r="I492" s="165"/>
      <c r="J492" s="165"/>
      <c r="K492" s="165"/>
      <c r="L492" s="165"/>
      <c r="M492" s="165"/>
    </row>
    <row r="493">
      <c r="I493" s="165"/>
      <c r="J493" s="165"/>
      <c r="K493" s="165"/>
      <c r="L493" s="165"/>
      <c r="M493" s="165"/>
    </row>
    <row r="494">
      <c r="I494" s="165"/>
      <c r="J494" s="165"/>
      <c r="K494" s="165"/>
      <c r="L494" s="165"/>
      <c r="M494" s="165"/>
    </row>
    <row r="495">
      <c r="I495" s="165"/>
      <c r="J495" s="165"/>
      <c r="K495" s="165"/>
      <c r="L495" s="165"/>
      <c r="M495" s="165"/>
    </row>
    <row r="496">
      <c r="I496" s="165"/>
      <c r="J496" s="165"/>
      <c r="K496" s="165"/>
      <c r="L496" s="165"/>
      <c r="M496" s="165"/>
    </row>
    <row r="497">
      <c r="I497" s="165"/>
      <c r="J497" s="165"/>
      <c r="K497" s="165"/>
      <c r="L497" s="165"/>
      <c r="M497" s="165"/>
    </row>
    <row r="498">
      <c r="I498" s="165"/>
      <c r="J498" s="165"/>
      <c r="K498" s="165"/>
      <c r="L498" s="165"/>
      <c r="M498" s="165"/>
    </row>
    <row r="499">
      <c r="I499" s="165"/>
      <c r="J499" s="165"/>
      <c r="K499" s="165"/>
      <c r="L499" s="165"/>
      <c r="M499" s="165"/>
    </row>
    <row r="500">
      <c r="I500" s="165"/>
      <c r="J500" s="165"/>
      <c r="K500" s="165"/>
      <c r="L500" s="165"/>
      <c r="M500" s="165"/>
    </row>
    <row r="501">
      <c r="I501" s="165"/>
      <c r="J501" s="165"/>
      <c r="K501" s="165"/>
      <c r="L501" s="165"/>
      <c r="M501" s="165"/>
    </row>
    <row r="502">
      <c r="I502" s="165"/>
      <c r="J502" s="165"/>
      <c r="K502" s="165"/>
      <c r="L502" s="165"/>
      <c r="M502" s="165"/>
    </row>
    <row r="503">
      <c r="I503" s="165"/>
      <c r="J503" s="165"/>
      <c r="K503" s="165"/>
      <c r="L503" s="165"/>
      <c r="M503" s="165"/>
    </row>
    <row r="504">
      <c r="I504" s="165"/>
      <c r="J504" s="165"/>
      <c r="K504" s="165"/>
      <c r="L504" s="165"/>
      <c r="M504" s="165"/>
    </row>
    <row r="505">
      <c r="I505" s="165"/>
      <c r="J505" s="165"/>
      <c r="K505" s="165"/>
      <c r="L505" s="165"/>
      <c r="M505" s="165"/>
    </row>
    <row r="506">
      <c r="I506" s="165"/>
      <c r="J506" s="165"/>
      <c r="K506" s="165"/>
      <c r="L506" s="165"/>
      <c r="M506" s="165"/>
    </row>
    <row r="507">
      <c r="I507" s="165"/>
      <c r="J507" s="165"/>
      <c r="K507" s="165"/>
      <c r="L507" s="165"/>
      <c r="M507" s="165"/>
    </row>
    <row r="508">
      <c r="I508" s="165"/>
      <c r="J508" s="165"/>
      <c r="K508" s="165"/>
      <c r="L508" s="165"/>
      <c r="M508" s="165"/>
    </row>
    <row r="509">
      <c r="I509" s="165"/>
      <c r="J509" s="165"/>
      <c r="K509" s="165"/>
      <c r="L509" s="165"/>
      <c r="M509" s="165"/>
    </row>
    <row r="510">
      <c r="I510" s="165"/>
      <c r="J510" s="165"/>
      <c r="K510" s="165"/>
      <c r="L510" s="165"/>
      <c r="M510" s="165"/>
    </row>
    <row r="511">
      <c r="I511" s="165"/>
      <c r="J511" s="165"/>
      <c r="K511" s="165"/>
      <c r="L511" s="165"/>
      <c r="M511" s="165"/>
    </row>
    <row r="512">
      <c r="I512" s="165"/>
      <c r="J512" s="165"/>
      <c r="K512" s="165"/>
      <c r="L512" s="165"/>
      <c r="M512" s="165"/>
    </row>
    <row r="513">
      <c r="I513" s="165"/>
      <c r="J513" s="165"/>
      <c r="K513" s="165"/>
      <c r="L513" s="165"/>
      <c r="M513" s="165"/>
    </row>
    <row r="514">
      <c r="I514" s="165"/>
      <c r="J514" s="165"/>
      <c r="K514" s="165"/>
      <c r="L514" s="165"/>
      <c r="M514" s="165"/>
    </row>
    <row r="515">
      <c r="I515" s="165"/>
      <c r="J515" s="165"/>
      <c r="K515" s="165"/>
      <c r="L515" s="165"/>
      <c r="M515" s="165"/>
    </row>
    <row r="516">
      <c r="I516" s="165"/>
      <c r="J516" s="165"/>
      <c r="K516" s="165"/>
      <c r="L516" s="165"/>
      <c r="M516" s="165"/>
    </row>
    <row r="517">
      <c r="I517" s="165"/>
      <c r="J517" s="165"/>
      <c r="K517" s="165"/>
      <c r="L517" s="165"/>
      <c r="M517" s="165"/>
    </row>
    <row r="518">
      <c r="I518" s="165"/>
      <c r="J518" s="165"/>
      <c r="K518" s="165"/>
      <c r="L518" s="165"/>
      <c r="M518" s="165"/>
    </row>
    <row r="519">
      <c r="I519" s="165"/>
      <c r="J519" s="165"/>
      <c r="K519" s="165"/>
      <c r="L519" s="165"/>
      <c r="M519" s="165"/>
    </row>
    <row r="520">
      <c r="I520" s="165"/>
      <c r="J520" s="165"/>
      <c r="K520" s="165"/>
      <c r="L520" s="165"/>
      <c r="M520" s="165"/>
    </row>
    <row r="521">
      <c r="I521" s="165"/>
      <c r="J521" s="165"/>
      <c r="K521" s="165"/>
      <c r="L521" s="165"/>
      <c r="M521" s="165"/>
    </row>
    <row r="522">
      <c r="I522" s="165"/>
      <c r="J522" s="165"/>
      <c r="K522" s="165"/>
      <c r="L522" s="165"/>
      <c r="M522" s="165"/>
    </row>
    <row r="523">
      <c r="I523" s="165"/>
      <c r="J523" s="165"/>
      <c r="K523" s="165"/>
      <c r="L523" s="165"/>
      <c r="M523" s="165"/>
    </row>
    <row r="524">
      <c r="I524" s="165"/>
      <c r="J524" s="165"/>
      <c r="K524" s="165"/>
      <c r="L524" s="165"/>
      <c r="M524" s="165"/>
    </row>
    <row r="525">
      <c r="I525" s="165"/>
      <c r="J525" s="165"/>
      <c r="K525" s="165"/>
      <c r="L525" s="165"/>
      <c r="M525" s="165"/>
    </row>
    <row r="526">
      <c r="I526" s="165"/>
      <c r="J526" s="165"/>
      <c r="K526" s="165"/>
      <c r="L526" s="165"/>
      <c r="M526" s="165"/>
    </row>
    <row r="527">
      <c r="I527" s="165"/>
      <c r="J527" s="165"/>
      <c r="K527" s="165"/>
      <c r="L527" s="165"/>
      <c r="M527" s="165"/>
    </row>
    <row r="528">
      <c r="I528" s="165"/>
      <c r="J528" s="165"/>
      <c r="K528" s="165"/>
      <c r="L528" s="165"/>
      <c r="M528" s="165"/>
    </row>
    <row r="529">
      <c r="I529" s="165"/>
      <c r="J529" s="165"/>
      <c r="K529" s="165"/>
      <c r="L529" s="165"/>
      <c r="M529" s="165"/>
    </row>
    <row r="530">
      <c r="I530" s="165"/>
      <c r="J530" s="165"/>
      <c r="K530" s="165"/>
      <c r="L530" s="165"/>
      <c r="M530" s="165"/>
    </row>
    <row r="531">
      <c r="I531" s="165"/>
      <c r="J531" s="165"/>
      <c r="K531" s="165"/>
      <c r="L531" s="165"/>
      <c r="M531" s="165"/>
    </row>
    <row r="532">
      <c r="I532" s="165"/>
      <c r="J532" s="165"/>
      <c r="K532" s="165"/>
      <c r="L532" s="165"/>
      <c r="M532" s="165"/>
    </row>
    <row r="533">
      <c r="I533" s="165"/>
      <c r="J533" s="165"/>
      <c r="K533" s="165"/>
      <c r="L533" s="165"/>
      <c r="M533" s="165"/>
    </row>
    <row r="534">
      <c r="I534" s="165"/>
      <c r="J534" s="165"/>
      <c r="K534" s="165"/>
      <c r="L534" s="165"/>
      <c r="M534" s="165"/>
    </row>
    <row r="535">
      <c r="I535" s="165"/>
      <c r="J535" s="165"/>
      <c r="K535" s="165"/>
      <c r="L535" s="165"/>
      <c r="M535" s="165"/>
    </row>
    <row r="536">
      <c r="I536" s="165"/>
      <c r="J536" s="165"/>
      <c r="K536" s="165"/>
      <c r="L536" s="165"/>
      <c r="M536" s="165"/>
    </row>
    <row r="537">
      <c r="I537" s="165"/>
      <c r="J537" s="165"/>
      <c r="K537" s="165"/>
      <c r="L537" s="165"/>
      <c r="M537" s="165"/>
    </row>
    <row r="538">
      <c r="I538" s="165"/>
      <c r="J538" s="165"/>
      <c r="K538" s="165"/>
      <c r="L538" s="165"/>
      <c r="M538" s="165"/>
    </row>
    <row r="539">
      <c r="I539" s="165"/>
      <c r="J539" s="165"/>
      <c r="K539" s="165"/>
      <c r="L539" s="165"/>
      <c r="M539" s="165"/>
    </row>
    <row r="540">
      <c r="I540" s="165"/>
      <c r="J540" s="165"/>
      <c r="K540" s="165"/>
      <c r="L540" s="165"/>
      <c r="M540" s="165"/>
    </row>
    <row r="541">
      <c r="I541" s="165"/>
      <c r="J541" s="165"/>
      <c r="K541" s="165"/>
      <c r="L541" s="165"/>
      <c r="M541" s="165"/>
    </row>
    <row r="542">
      <c r="I542" s="165"/>
      <c r="J542" s="165"/>
      <c r="K542" s="165"/>
      <c r="L542" s="165"/>
      <c r="M542" s="165"/>
    </row>
    <row r="543">
      <c r="I543" s="165"/>
      <c r="J543" s="165"/>
      <c r="K543" s="165"/>
      <c r="L543" s="165"/>
      <c r="M543" s="165"/>
    </row>
    <row r="544">
      <c r="I544" s="165"/>
      <c r="J544" s="165"/>
      <c r="K544" s="165"/>
      <c r="L544" s="165"/>
      <c r="M544" s="165"/>
    </row>
    <row r="545">
      <c r="I545" s="165"/>
      <c r="J545" s="165"/>
      <c r="K545" s="165"/>
      <c r="L545" s="165"/>
      <c r="M545" s="165"/>
    </row>
    <row r="546">
      <c r="I546" s="165"/>
      <c r="J546" s="165"/>
      <c r="K546" s="165"/>
      <c r="L546" s="165"/>
      <c r="M546" s="165"/>
    </row>
    <row r="547">
      <c r="I547" s="165"/>
      <c r="J547" s="165"/>
      <c r="K547" s="165"/>
      <c r="L547" s="165"/>
      <c r="M547" s="165"/>
    </row>
    <row r="548">
      <c r="I548" s="165"/>
      <c r="J548" s="165"/>
      <c r="K548" s="165"/>
      <c r="L548" s="165"/>
      <c r="M548" s="165"/>
    </row>
    <row r="549">
      <c r="I549" s="165"/>
      <c r="J549" s="165"/>
      <c r="K549" s="165"/>
      <c r="L549" s="165"/>
      <c r="M549" s="165"/>
    </row>
    <row r="550">
      <c r="I550" s="165"/>
      <c r="J550" s="165"/>
      <c r="K550" s="165"/>
      <c r="L550" s="165"/>
      <c r="M550" s="165"/>
    </row>
    <row r="551">
      <c r="I551" s="165"/>
      <c r="J551" s="165"/>
      <c r="K551" s="165"/>
      <c r="L551" s="165"/>
      <c r="M551" s="165"/>
    </row>
    <row r="552">
      <c r="I552" s="165"/>
      <c r="J552" s="165"/>
      <c r="K552" s="165"/>
      <c r="L552" s="165"/>
      <c r="M552" s="165"/>
    </row>
    <row r="553">
      <c r="I553" s="165"/>
      <c r="J553" s="165"/>
      <c r="K553" s="165"/>
      <c r="L553" s="165"/>
      <c r="M553" s="165"/>
    </row>
    <row r="554">
      <c r="I554" s="165"/>
      <c r="J554" s="165"/>
      <c r="K554" s="165"/>
      <c r="L554" s="165"/>
      <c r="M554" s="165"/>
    </row>
    <row r="555">
      <c r="I555" s="165"/>
      <c r="J555" s="165"/>
      <c r="K555" s="165"/>
      <c r="L555" s="165"/>
      <c r="M555" s="165"/>
    </row>
    <row r="556">
      <c r="I556" s="165"/>
      <c r="J556" s="165"/>
      <c r="K556" s="165"/>
      <c r="L556" s="165"/>
      <c r="M556" s="165"/>
    </row>
    <row r="557">
      <c r="I557" s="165"/>
      <c r="J557" s="165"/>
      <c r="K557" s="165"/>
      <c r="L557" s="165"/>
      <c r="M557" s="165"/>
    </row>
    <row r="558">
      <c r="I558" s="165"/>
      <c r="J558" s="165"/>
      <c r="K558" s="165"/>
      <c r="L558" s="165"/>
      <c r="M558" s="165"/>
    </row>
    <row r="559">
      <c r="I559" s="165"/>
      <c r="J559" s="165"/>
      <c r="K559" s="165"/>
      <c r="L559" s="165"/>
      <c r="M559" s="165"/>
    </row>
    <row r="560">
      <c r="I560" s="165"/>
      <c r="J560" s="165"/>
      <c r="K560" s="165"/>
      <c r="L560" s="165"/>
      <c r="M560" s="165"/>
    </row>
    <row r="561">
      <c r="I561" s="165"/>
      <c r="J561" s="165"/>
      <c r="K561" s="165"/>
      <c r="L561" s="165"/>
      <c r="M561" s="165"/>
    </row>
    <row r="562">
      <c r="I562" s="165"/>
      <c r="J562" s="165"/>
      <c r="K562" s="165"/>
      <c r="L562" s="165"/>
      <c r="M562" s="165"/>
    </row>
    <row r="563">
      <c r="I563" s="165"/>
      <c r="J563" s="165"/>
      <c r="K563" s="165"/>
      <c r="L563" s="165"/>
      <c r="M563" s="165"/>
    </row>
    <row r="564">
      <c r="I564" s="165"/>
      <c r="J564" s="165"/>
      <c r="K564" s="165"/>
      <c r="L564" s="165"/>
      <c r="M564" s="165"/>
    </row>
    <row r="565">
      <c r="I565" s="165"/>
      <c r="J565" s="165"/>
      <c r="K565" s="165"/>
      <c r="L565" s="165"/>
      <c r="M565" s="165"/>
    </row>
    <row r="566">
      <c r="I566" s="165"/>
      <c r="J566" s="165"/>
      <c r="K566" s="165"/>
      <c r="L566" s="165"/>
      <c r="M566" s="165"/>
    </row>
    <row r="567">
      <c r="I567" s="165"/>
      <c r="J567" s="165"/>
      <c r="K567" s="165"/>
      <c r="L567" s="165"/>
      <c r="M567" s="165"/>
    </row>
    <row r="568">
      <c r="I568" s="165"/>
      <c r="J568" s="165"/>
      <c r="K568" s="165"/>
      <c r="L568" s="165"/>
      <c r="M568" s="165"/>
    </row>
    <row r="569">
      <c r="I569" s="165"/>
      <c r="J569" s="165"/>
      <c r="K569" s="165"/>
      <c r="L569" s="165"/>
      <c r="M569" s="165"/>
    </row>
    <row r="570">
      <c r="I570" s="165"/>
      <c r="J570" s="165"/>
      <c r="K570" s="165"/>
      <c r="L570" s="165"/>
      <c r="M570" s="165"/>
    </row>
    <row r="571">
      <c r="I571" s="165"/>
      <c r="J571" s="165"/>
      <c r="K571" s="165"/>
      <c r="L571" s="165"/>
      <c r="M571" s="165"/>
    </row>
    <row r="572">
      <c r="I572" s="165"/>
      <c r="J572" s="165"/>
      <c r="K572" s="165"/>
      <c r="L572" s="165"/>
      <c r="M572" s="165"/>
    </row>
    <row r="573">
      <c r="I573" s="165"/>
      <c r="J573" s="165"/>
      <c r="K573" s="165"/>
      <c r="L573" s="165"/>
      <c r="M573" s="165"/>
    </row>
    <row r="574">
      <c r="I574" s="165"/>
      <c r="J574" s="165"/>
      <c r="K574" s="165"/>
      <c r="L574" s="165"/>
      <c r="M574" s="165"/>
    </row>
    <row r="575">
      <c r="I575" s="165"/>
      <c r="J575" s="165"/>
      <c r="K575" s="165"/>
      <c r="L575" s="165"/>
      <c r="M575" s="165"/>
    </row>
    <row r="576">
      <c r="I576" s="165"/>
      <c r="J576" s="165"/>
      <c r="K576" s="165"/>
      <c r="L576" s="165"/>
      <c r="M576" s="165"/>
    </row>
    <row r="577">
      <c r="I577" s="165"/>
      <c r="J577" s="165"/>
      <c r="K577" s="165"/>
      <c r="L577" s="165"/>
      <c r="M577" s="165"/>
    </row>
    <row r="578">
      <c r="I578" s="165"/>
      <c r="J578" s="165"/>
      <c r="K578" s="165"/>
      <c r="L578" s="165"/>
      <c r="M578" s="165"/>
    </row>
    <row r="579">
      <c r="I579" s="165"/>
      <c r="J579" s="165"/>
      <c r="K579" s="165"/>
      <c r="L579" s="165"/>
      <c r="M579" s="165"/>
    </row>
    <row r="580">
      <c r="I580" s="165"/>
      <c r="J580" s="165"/>
      <c r="K580" s="165"/>
      <c r="L580" s="165"/>
      <c r="M580" s="165"/>
    </row>
    <row r="581">
      <c r="I581" s="165"/>
      <c r="J581" s="165"/>
      <c r="K581" s="165"/>
      <c r="L581" s="165"/>
      <c r="M581" s="165"/>
    </row>
    <row r="582">
      <c r="I582" s="165"/>
      <c r="J582" s="165"/>
      <c r="K582" s="165"/>
      <c r="L582" s="165"/>
      <c r="M582" s="165"/>
    </row>
    <row r="583">
      <c r="I583" s="165"/>
      <c r="J583" s="165"/>
      <c r="K583" s="165"/>
      <c r="L583" s="165"/>
      <c r="M583" s="165"/>
    </row>
    <row r="584">
      <c r="I584" s="165"/>
      <c r="J584" s="165"/>
      <c r="K584" s="165"/>
      <c r="L584" s="165"/>
      <c r="M584" s="165"/>
    </row>
    <row r="585">
      <c r="I585" s="165"/>
      <c r="J585" s="165"/>
      <c r="K585" s="165"/>
      <c r="L585" s="165"/>
      <c r="M585" s="165"/>
    </row>
    <row r="586">
      <c r="I586" s="165"/>
      <c r="J586" s="165"/>
      <c r="K586" s="165"/>
      <c r="L586" s="165"/>
      <c r="M586" s="165"/>
    </row>
    <row r="587">
      <c r="I587" s="165"/>
      <c r="J587" s="165"/>
      <c r="K587" s="165"/>
      <c r="L587" s="165"/>
      <c r="M587" s="165"/>
    </row>
    <row r="588">
      <c r="I588" s="165"/>
      <c r="J588" s="165"/>
      <c r="K588" s="165"/>
      <c r="L588" s="165"/>
      <c r="M588" s="165"/>
    </row>
    <row r="589">
      <c r="I589" s="165"/>
      <c r="J589" s="165"/>
      <c r="K589" s="165"/>
      <c r="L589" s="165"/>
      <c r="M589" s="165"/>
    </row>
    <row r="590">
      <c r="I590" s="165"/>
      <c r="J590" s="165"/>
      <c r="K590" s="165"/>
      <c r="L590" s="165"/>
      <c r="M590" s="165"/>
    </row>
    <row r="591">
      <c r="I591" s="165"/>
      <c r="J591" s="165"/>
      <c r="K591" s="165"/>
      <c r="L591" s="165"/>
      <c r="M591" s="165"/>
    </row>
    <row r="592">
      <c r="I592" s="165"/>
      <c r="J592" s="165"/>
      <c r="K592" s="165"/>
      <c r="L592" s="165"/>
      <c r="M592" s="165"/>
    </row>
    <row r="593">
      <c r="I593" s="165"/>
      <c r="J593" s="165"/>
      <c r="K593" s="165"/>
      <c r="L593" s="165"/>
      <c r="M593" s="165"/>
    </row>
    <row r="594">
      <c r="I594" s="165"/>
      <c r="J594" s="165"/>
      <c r="K594" s="165"/>
      <c r="L594" s="165"/>
      <c r="M594" s="165"/>
    </row>
    <row r="595">
      <c r="I595" s="165"/>
      <c r="J595" s="165"/>
      <c r="K595" s="165"/>
      <c r="L595" s="165"/>
      <c r="M595" s="165"/>
    </row>
    <row r="596">
      <c r="I596" s="165"/>
      <c r="J596" s="165"/>
      <c r="K596" s="165"/>
      <c r="L596" s="165"/>
      <c r="M596" s="165"/>
    </row>
    <row r="597">
      <c r="I597" s="165"/>
      <c r="J597" s="165"/>
      <c r="K597" s="165"/>
      <c r="L597" s="165"/>
      <c r="M597" s="165"/>
    </row>
    <row r="598">
      <c r="I598" s="165"/>
      <c r="J598" s="165"/>
      <c r="K598" s="165"/>
      <c r="L598" s="165"/>
      <c r="M598" s="165"/>
    </row>
    <row r="599">
      <c r="I599" s="165"/>
      <c r="J599" s="165"/>
      <c r="K599" s="165"/>
      <c r="L599" s="165"/>
      <c r="M599" s="165"/>
    </row>
    <row r="600">
      <c r="I600" s="165"/>
      <c r="J600" s="165"/>
      <c r="K600" s="165"/>
      <c r="L600" s="165"/>
      <c r="M600" s="165"/>
    </row>
    <row r="601">
      <c r="I601" s="165"/>
      <c r="J601" s="165"/>
      <c r="K601" s="165"/>
      <c r="L601" s="165"/>
      <c r="M601" s="165"/>
    </row>
    <row r="602">
      <c r="I602" s="165"/>
      <c r="J602" s="165"/>
      <c r="K602" s="165"/>
      <c r="L602" s="165"/>
      <c r="M602" s="165"/>
    </row>
    <row r="603">
      <c r="I603" s="165"/>
      <c r="J603" s="165"/>
      <c r="K603" s="165"/>
      <c r="L603" s="165"/>
      <c r="M603" s="165"/>
    </row>
    <row r="604">
      <c r="I604" s="165"/>
      <c r="J604" s="165"/>
      <c r="K604" s="165"/>
      <c r="L604" s="165"/>
      <c r="M604" s="165"/>
    </row>
    <row r="605">
      <c r="I605" s="165"/>
      <c r="J605" s="165"/>
      <c r="K605" s="165"/>
      <c r="L605" s="165"/>
      <c r="M605" s="165"/>
    </row>
    <row r="606">
      <c r="I606" s="165"/>
      <c r="J606" s="165"/>
      <c r="K606" s="165"/>
      <c r="L606" s="165"/>
      <c r="M606" s="165"/>
    </row>
    <row r="607">
      <c r="I607" s="165"/>
      <c r="J607" s="165"/>
      <c r="K607" s="165"/>
      <c r="L607" s="165"/>
      <c r="M607" s="165"/>
    </row>
    <row r="608">
      <c r="I608" s="165"/>
      <c r="J608" s="165"/>
      <c r="K608" s="165"/>
      <c r="L608" s="165"/>
      <c r="M608" s="165"/>
    </row>
    <row r="609">
      <c r="I609" s="165"/>
      <c r="J609" s="165"/>
      <c r="K609" s="165"/>
      <c r="L609" s="165"/>
      <c r="M609" s="165"/>
    </row>
    <row r="610">
      <c r="I610" s="165"/>
      <c r="J610" s="165"/>
      <c r="K610" s="165"/>
      <c r="L610" s="165"/>
      <c r="M610" s="165"/>
    </row>
    <row r="611">
      <c r="I611" s="165"/>
      <c r="J611" s="165"/>
      <c r="K611" s="165"/>
      <c r="L611" s="165"/>
      <c r="M611" s="165"/>
    </row>
    <row r="612">
      <c r="I612" s="165"/>
      <c r="J612" s="165"/>
      <c r="K612" s="165"/>
      <c r="L612" s="165"/>
      <c r="M612" s="165"/>
    </row>
    <row r="613">
      <c r="I613" s="165"/>
      <c r="J613" s="165"/>
      <c r="K613" s="165"/>
      <c r="L613" s="165"/>
      <c r="M613" s="165"/>
    </row>
    <row r="614">
      <c r="I614" s="165"/>
      <c r="J614" s="165"/>
      <c r="K614" s="165"/>
      <c r="L614" s="165"/>
      <c r="M614" s="165"/>
    </row>
    <row r="615">
      <c r="I615" s="165"/>
      <c r="J615" s="165"/>
      <c r="K615" s="165"/>
      <c r="L615" s="165"/>
      <c r="M615" s="165"/>
    </row>
    <row r="616">
      <c r="I616" s="165"/>
      <c r="J616" s="165"/>
      <c r="K616" s="165"/>
      <c r="L616" s="165"/>
      <c r="M616" s="165"/>
    </row>
    <row r="617">
      <c r="I617" s="165"/>
      <c r="J617" s="165"/>
      <c r="K617" s="165"/>
      <c r="L617" s="165"/>
      <c r="M617" s="165"/>
    </row>
    <row r="618">
      <c r="I618" s="165"/>
      <c r="J618" s="165"/>
      <c r="K618" s="165"/>
      <c r="L618" s="165"/>
      <c r="M618" s="165"/>
    </row>
    <row r="619">
      <c r="I619" s="165"/>
      <c r="J619" s="165"/>
      <c r="K619" s="165"/>
      <c r="L619" s="165"/>
      <c r="M619" s="165"/>
    </row>
    <row r="620">
      <c r="I620" s="165"/>
      <c r="J620" s="165"/>
      <c r="K620" s="165"/>
      <c r="L620" s="165"/>
      <c r="M620" s="165"/>
    </row>
    <row r="621">
      <c r="I621" s="165"/>
      <c r="J621" s="165"/>
      <c r="K621" s="165"/>
      <c r="L621" s="165"/>
      <c r="M621" s="165"/>
    </row>
    <row r="622">
      <c r="I622" s="165"/>
      <c r="J622" s="165"/>
      <c r="K622" s="165"/>
      <c r="L622" s="165"/>
      <c r="M622" s="165"/>
    </row>
    <row r="623">
      <c r="I623" s="165"/>
      <c r="J623" s="165"/>
      <c r="K623" s="165"/>
      <c r="L623" s="165"/>
      <c r="M623" s="165"/>
    </row>
    <row r="624">
      <c r="I624" s="165"/>
      <c r="J624" s="165"/>
      <c r="K624" s="165"/>
      <c r="L624" s="165"/>
      <c r="M624" s="165"/>
    </row>
    <row r="625">
      <c r="I625" s="165"/>
      <c r="J625" s="165"/>
      <c r="K625" s="165"/>
      <c r="L625" s="165"/>
      <c r="M625" s="165"/>
    </row>
    <row r="626">
      <c r="I626" s="165"/>
      <c r="J626" s="165"/>
      <c r="K626" s="165"/>
      <c r="L626" s="165"/>
      <c r="M626" s="165"/>
    </row>
    <row r="627">
      <c r="I627" s="165"/>
      <c r="J627" s="165"/>
      <c r="K627" s="165"/>
      <c r="L627" s="165"/>
      <c r="M627" s="165"/>
    </row>
    <row r="628">
      <c r="I628" s="165"/>
      <c r="J628" s="165"/>
      <c r="K628" s="165"/>
      <c r="L628" s="165"/>
      <c r="M628" s="165"/>
    </row>
    <row r="629">
      <c r="I629" s="165"/>
      <c r="J629" s="165"/>
      <c r="K629" s="165"/>
      <c r="L629" s="165"/>
      <c r="M629" s="165"/>
    </row>
    <row r="630">
      <c r="I630" s="165"/>
      <c r="J630" s="165"/>
      <c r="K630" s="165"/>
      <c r="L630" s="165"/>
      <c r="M630" s="165"/>
    </row>
    <row r="631">
      <c r="I631" s="165"/>
      <c r="J631" s="165"/>
      <c r="K631" s="165"/>
      <c r="L631" s="165"/>
      <c r="M631" s="165"/>
    </row>
    <row r="632">
      <c r="I632" s="165"/>
      <c r="J632" s="165"/>
      <c r="K632" s="165"/>
      <c r="L632" s="165"/>
      <c r="M632" s="165"/>
    </row>
    <row r="633">
      <c r="I633" s="165"/>
      <c r="J633" s="165"/>
      <c r="K633" s="165"/>
      <c r="L633" s="165"/>
      <c r="M633" s="165"/>
    </row>
    <row r="634">
      <c r="I634" s="165"/>
      <c r="J634" s="165"/>
      <c r="K634" s="165"/>
      <c r="L634" s="165"/>
      <c r="M634" s="165"/>
    </row>
    <row r="635">
      <c r="I635" s="165"/>
      <c r="J635" s="165"/>
      <c r="K635" s="165"/>
      <c r="L635" s="165"/>
      <c r="M635" s="165"/>
    </row>
    <row r="636">
      <c r="I636" s="165"/>
      <c r="J636" s="165"/>
      <c r="K636" s="165"/>
      <c r="L636" s="165"/>
      <c r="M636" s="165"/>
    </row>
    <row r="637">
      <c r="I637" s="165"/>
      <c r="J637" s="165"/>
      <c r="K637" s="165"/>
      <c r="L637" s="165"/>
      <c r="M637" s="165"/>
    </row>
    <row r="638">
      <c r="I638" s="165"/>
      <c r="J638" s="165"/>
      <c r="K638" s="165"/>
      <c r="L638" s="165"/>
      <c r="M638" s="165"/>
    </row>
    <row r="639">
      <c r="I639" s="165"/>
      <c r="J639" s="165"/>
      <c r="K639" s="165"/>
      <c r="L639" s="165"/>
      <c r="M639" s="165"/>
    </row>
    <row r="640">
      <c r="I640" s="165"/>
      <c r="J640" s="165"/>
      <c r="K640" s="165"/>
      <c r="L640" s="165"/>
      <c r="M640" s="165"/>
    </row>
    <row r="641">
      <c r="I641" s="165"/>
      <c r="J641" s="165"/>
      <c r="K641" s="165"/>
      <c r="L641" s="165"/>
      <c r="M641" s="165"/>
    </row>
    <row r="642">
      <c r="I642" s="165"/>
      <c r="J642" s="165"/>
      <c r="K642" s="165"/>
      <c r="L642" s="165"/>
      <c r="M642" s="165"/>
    </row>
    <row r="643">
      <c r="I643" s="165"/>
      <c r="J643" s="165"/>
      <c r="K643" s="165"/>
      <c r="L643" s="165"/>
      <c r="M643" s="165"/>
    </row>
    <row r="644">
      <c r="I644" s="165"/>
      <c r="J644" s="165"/>
      <c r="K644" s="165"/>
      <c r="L644" s="165"/>
      <c r="M644" s="165"/>
    </row>
    <row r="645">
      <c r="I645" s="165"/>
      <c r="J645" s="165"/>
      <c r="K645" s="165"/>
      <c r="L645" s="165"/>
      <c r="M645" s="165"/>
    </row>
    <row r="646">
      <c r="I646" s="165"/>
      <c r="J646" s="165"/>
      <c r="K646" s="165"/>
      <c r="L646" s="165"/>
      <c r="M646" s="165"/>
    </row>
    <row r="647">
      <c r="I647" s="165"/>
      <c r="J647" s="165"/>
      <c r="K647" s="165"/>
      <c r="L647" s="165"/>
      <c r="M647" s="165"/>
    </row>
    <row r="648">
      <c r="I648" s="165"/>
      <c r="J648" s="165"/>
      <c r="K648" s="165"/>
      <c r="L648" s="165"/>
      <c r="M648" s="165"/>
    </row>
    <row r="649">
      <c r="I649" s="165"/>
      <c r="J649" s="165"/>
      <c r="K649" s="165"/>
      <c r="L649" s="165"/>
      <c r="M649" s="165"/>
    </row>
    <row r="650">
      <c r="I650" s="165"/>
      <c r="J650" s="165"/>
      <c r="K650" s="165"/>
      <c r="L650" s="165"/>
      <c r="M650" s="165"/>
    </row>
    <row r="651">
      <c r="I651" s="165"/>
      <c r="J651" s="165"/>
      <c r="K651" s="165"/>
      <c r="L651" s="165"/>
      <c r="M651" s="165"/>
    </row>
    <row r="652">
      <c r="I652" s="165"/>
      <c r="J652" s="165"/>
      <c r="K652" s="165"/>
      <c r="L652" s="165"/>
      <c r="M652" s="165"/>
    </row>
    <row r="653">
      <c r="I653" s="165"/>
      <c r="J653" s="165"/>
      <c r="K653" s="165"/>
      <c r="L653" s="165"/>
      <c r="M653" s="165"/>
    </row>
    <row r="654">
      <c r="I654" s="165"/>
      <c r="J654" s="165"/>
      <c r="K654" s="165"/>
      <c r="L654" s="165"/>
      <c r="M654" s="165"/>
    </row>
    <row r="655">
      <c r="I655" s="165"/>
      <c r="J655" s="165"/>
      <c r="K655" s="165"/>
      <c r="L655" s="165"/>
      <c r="M655" s="165"/>
    </row>
    <row r="656">
      <c r="I656" s="165"/>
      <c r="J656" s="165"/>
      <c r="K656" s="165"/>
      <c r="L656" s="165"/>
      <c r="M656" s="165"/>
    </row>
    <row r="657">
      <c r="I657" s="165"/>
      <c r="J657" s="165"/>
      <c r="K657" s="165"/>
      <c r="L657" s="165"/>
      <c r="M657" s="165"/>
    </row>
    <row r="658">
      <c r="I658" s="165"/>
      <c r="J658" s="165"/>
      <c r="K658" s="165"/>
      <c r="L658" s="165"/>
      <c r="M658" s="165"/>
    </row>
    <row r="659">
      <c r="I659" s="165"/>
      <c r="J659" s="165"/>
      <c r="K659" s="165"/>
      <c r="L659" s="165"/>
      <c r="M659" s="165"/>
    </row>
    <row r="660">
      <c r="I660" s="165"/>
      <c r="J660" s="165"/>
      <c r="K660" s="165"/>
      <c r="L660" s="165"/>
      <c r="M660" s="165"/>
    </row>
    <row r="661">
      <c r="I661" s="165"/>
      <c r="J661" s="165"/>
      <c r="K661" s="165"/>
      <c r="L661" s="165"/>
      <c r="M661" s="165"/>
    </row>
    <row r="662">
      <c r="I662" s="165"/>
      <c r="J662" s="165"/>
      <c r="K662" s="165"/>
      <c r="L662" s="165"/>
      <c r="M662" s="165"/>
    </row>
    <row r="663">
      <c r="I663" s="165"/>
      <c r="J663" s="165"/>
      <c r="K663" s="165"/>
      <c r="L663" s="165"/>
      <c r="M663" s="165"/>
    </row>
    <row r="664">
      <c r="I664" s="165"/>
      <c r="J664" s="165"/>
      <c r="K664" s="165"/>
      <c r="L664" s="165"/>
      <c r="M664" s="165"/>
    </row>
    <row r="665">
      <c r="I665" s="165"/>
      <c r="J665" s="165"/>
      <c r="K665" s="165"/>
      <c r="L665" s="165"/>
      <c r="M665" s="165"/>
    </row>
    <row r="666">
      <c r="I666" s="165"/>
      <c r="J666" s="165"/>
      <c r="K666" s="165"/>
      <c r="L666" s="165"/>
      <c r="M666" s="165"/>
    </row>
    <row r="667">
      <c r="I667" s="165"/>
      <c r="J667" s="165"/>
      <c r="K667" s="165"/>
      <c r="L667" s="165"/>
      <c r="M667" s="165"/>
    </row>
    <row r="668">
      <c r="I668" s="165"/>
      <c r="J668" s="165"/>
      <c r="K668" s="165"/>
      <c r="L668" s="165"/>
      <c r="M668" s="165"/>
    </row>
    <row r="669">
      <c r="I669" s="165"/>
      <c r="J669" s="165"/>
      <c r="K669" s="165"/>
      <c r="L669" s="165"/>
      <c r="M669" s="165"/>
    </row>
    <row r="670">
      <c r="I670" s="165"/>
      <c r="J670" s="165"/>
      <c r="K670" s="165"/>
      <c r="L670" s="165"/>
      <c r="M670" s="165"/>
    </row>
    <row r="671">
      <c r="I671" s="165"/>
      <c r="J671" s="165"/>
      <c r="K671" s="165"/>
      <c r="L671" s="165"/>
      <c r="M671" s="165"/>
    </row>
    <row r="672">
      <c r="I672" s="165"/>
      <c r="J672" s="165"/>
      <c r="K672" s="165"/>
      <c r="L672" s="165"/>
      <c r="M672" s="165"/>
    </row>
    <row r="673">
      <c r="I673" s="165"/>
      <c r="J673" s="165"/>
      <c r="K673" s="165"/>
      <c r="L673" s="165"/>
      <c r="M673" s="165"/>
    </row>
    <row r="674">
      <c r="I674" s="165"/>
      <c r="J674" s="165"/>
      <c r="K674" s="165"/>
      <c r="L674" s="165"/>
      <c r="M674" s="165"/>
    </row>
    <row r="675">
      <c r="I675" s="165"/>
      <c r="J675" s="165"/>
      <c r="K675" s="165"/>
      <c r="L675" s="165"/>
      <c r="M675" s="165"/>
    </row>
    <row r="676">
      <c r="I676" s="165"/>
      <c r="J676" s="165"/>
      <c r="K676" s="165"/>
      <c r="L676" s="165"/>
      <c r="M676" s="165"/>
    </row>
    <row r="677">
      <c r="I677" s="165"/>
      <c r="J677" s="165"/>
      <c r="K677" s="165"/>
      <c r="L677" s="165"/>
      <c r="M677" s="165"/>
    </row>
    <row r="678">
      <c r="I678" s="165"/>
      <c r="J678" s="165"/>
      <c r="K678" s="165"/>
      <c r="L678" s="165"/>
      <c r="M678" s="165"/>
    </row>
    <row r="679">
      <c r="I679" s="165"/>
      <c r="J679" s="165"/>
      <c r="K679" s="165"/>
      <c r="L679" s="165"/>
      <c r="M679" s="165"/>
    </row>
    <row r="680">
      <c r="I680" s="165"/>
      <c r="J680" s="165"/>
      <c r="K680" s="165"/>
      <c r="L680" s="165"/>
      <c r="M680" s="165"/>
    </row>
    <row r="681">
      <c r="I681" s="165"/>
      <c r="J681" s="165"/>
      <c r="K681" s="165"/>
      <c r="L681" s="165"/>
      <c r="M681" s="165"/>
    </row>
    <row r="682">
      <c r="I682" s="165"/>
      <c r="J682" s="165"/>
      <c r="K682" s="165"/>
      <c r="L682" s="165"/>
      <c r="M682" s="165"/>
    </row>
    <row r="683">
      <c r="I683" s="165"/>
      <c r="J683" s="165"/>
      <c r="K683" s="165"/>
      <c r="L683" s="165"/>
      <c r="M683" s="165"/>
    </row>
    <row r="684">
      <c r="I684" s="165"/>
      <c r="J684" s="165"/>
      <c r="K684" s="165"/>
      <c r="L684" s="165"/>
      <c r="M684" s="165"/>
    </row>
    <row r="685">
      <c r="I685" s="165"/>
      <c r="J685" s="165"/>
      <c r="K685" s="165"/>
      <c r="L685" s="165"/>
      <c r="M685" s="165"/>
    </row>
    <row r="686">
      <c r="I686" s="165"/>
      <c r="J686" s="165"/>
      <c r="K686" s="165"/>
      <c r="L686" s="165"/>
      <c r="M686" s="165"/>
    </row>
    <row r="687">
      <c r="I687" s="165"/>
      <c r="J687" s="165"/>
      <c r="K687" s="165"/>
      <c r="L687" s="165"/>
      <c r="M687" s="165"/>
    </row>
    <row r="688">
      <c r="I688" s="165"/>
      <c r="J688" s="165"/>
      <c r="K688" s="165"/>
      <c r="L688" s="165"/>
      <c r="M688" s="165"/>
    </row>
    <row r="689">
      <c r="I689" s="165"/>
      <c r="J689" s="165"/>
      <c r="K689" s="165"/>
      <c r="L689" s="165"/>
      <c r="M689" s="165"/>
    </row>
    <row r="690">
      <c r="I690" s="165"/>
      <c r="J690" s="165"/>
      <c r="K690" s="165"/>
      <c r="L690" s="165"/>
      <c r="M690" s="165"/>
    </row>
    <row r="691">
      <c r="I691" s="165"/>
      <c r="J691" s="165"/>
      <c r="K691" s="165"/>
      <c r="L691" s="165"/>
      <c r="M691" s="165"/>
    </row>
    <row r="692">
      <c r="I692" s="165"/>
      <c r="J692" s="165"/>
      <c r="K692" s="165"/>
      <c r="L692" s="165"/>
      <c r="M692" s="165"/>
    </row>
    <row r="693">
      <c r="I693" s="165"/>
      <c r="J693" s="165"/>
      <c r="K693" s="165"/>
      <c r="L693" s="165"/>
      <c r="M693" s="165"/>
    </row>
    <row r="694">
      <c r="I694" s="165"/>
      <c r="J694" s="165"/>
      <c r="K694" s="165"/>
      <c r="L694" s="165"/>
      <c r="M694" s="165"/>
    </row>
    <row r="695">
      <c r="I695" s="165"/>
      <c r="J695" s="165"/>
      <c r="K695" s="165"/>
      <c r="L695" s="165"/>
      <c r="M695" s="165"/>
    </row>
    <row r="696">
      <c r="I696" s="165"/>
      <c r="J696" s="165"/>
      <c r="K696" s="165"/>
      <c r="L696" s="165"/>
      <c r="M696" s="165"/>
    </row>
    <row r="697">
      <c r="I697" s="165"/>
      <c r="J697" s="165"/>
      <c r="K697" s="165"/>
      <c r="L697" s="165"/>
      <c r="M697" s="165"/>
    </row>
    <row r="698">
      <c r="I698" s="165"/>
      <c r="J698" s="165"/>
      <c r="K698" s="165"/>
      <c r="L698" s="165"/>
      <c r="M698" s="165"/>
    </row>
    <row r="699">
      <c r="I699" s="165"/>
      <c r="J699" s="165"/>
      <c r="K699" s="165"/>
      <c r="L699" s="165"/>
      <c r="M699" s="165"/>
    </row>
    <row r="700">
      <c r="I700" s="165"/>
      <c r="J700" s="165"/>
      <c r="K700" s="165"/>
      <c r="L700" s="165"/>
      <c r="M700" s="165"/>
    </row>
    <row r="701">
      <c r="I701" s="165"/>
      <c r="J701" s="165"/>
      <c r="K701" s="165"/>
      <c r="L701" s="165"/>
      <c r="M701" s="165"/>
    </row>
    <row r="702">
      <c r="I702" s="165"/>
      <c r="J702" s="165"/>
      <c r="K702" s="165"/>
      <c r="L702" s="165"/>
      <c r="M702" s="165"/>
    </row>
    <row r="703">
      <c r="I703" s="165"/>
      <c r="J703" s="165"/>
      <c r="K703" s="165"/>
      <c r="L703" s="165"/>
      <c r="M703" s="165"/>
    </row>
    <row r="704">
      <c r="I704" s="165"/>
      <c r="J704" s="165"/>
      <c r="K704" s="165"/>
      <c r="L704" s="165"/>
      <c r="M704" s="165"/>
    </row>
    <row r="705">
      <c r="I705" s="165"/>
      <c r="J705" s="165"/>
      <c r="K705" s="165"/>
      <c r="L705" s="165"/>
      <c r="M705" s="165"/>
    </row>
    <row r="706">
      <c r="I706" s="165"/>
      <c r="J706" s="165"/>
      <c r="K706" s="165"/>
      <c r="L706" s="165"/>
      <c r="M706" s="165"/>
    </row>
    <row r="707">
      <c r="I707" s="165"/>
      <c r="J707" s="165"/>
      <c r="K707" s="165"/>
      <c r="L707" s="165"/>
      <c r="M707" s="165"/>
    </row>
    <row r="708">
      <c r="I708" s="165"/>
      <c r="J708" s="165"/>
      <c r="K708" s="165"/>
      <c r="L708" s="165"/>
      <c r="M708" s="165"/>
    </row>
    <row r="709">
      <c r="I709" s="165"/>
      <c r="J709" s="165"/>
      <c r="K709" s="165"/>
      <c r="L709" s="165"/>
      <c r="M709" s="165"/>
    </row>
    <row r="710">
      <c r="I710" s="165"/>
      <c r="J710" s="165"/>
      <c r="K710" s="165"/>
      <c r="L710" s="165"/>
      <c r="M710" s="165"/>
    </row>
    <row r="711">
      <c r="I711" s="165"/>
      <c r="J711" s="165"/>
      <c r="K711" s="165"/>
      <c r="L711" s="165"/>
      <c r="M711" s="165"/>
    </row>
    <row r="712">
      <c r="I712" s="165"/>
      <c r="J712" s="165"/>
      <c r="K712" s="165"/>
      <c r="L712" s="165"/>
      <c r="M712" s="165"/>
    </row>
    <row r="713">
      <c r="I713" s="165"/>
      <c r="J713" s="165"/>
      <c r="K713" s="165"/>
      <c r="L713" s="165"/>
      <c r="M713" s="165"/>
    </row>
    <row r="714">
      <c r="I714" s="165"/>
      <c r="J714" s="165"/>
      <c r="K714" s="165"/>
      <c r="L714" s="165"/>
      <c r="M714" s="165"/>
    </row>
    <row r="715">
      <c r="I715" s="165"/>
      <c r="J715" s="165"/>
      <c r="K715" s="165"/>
      <c r="L715" s="165"/>
      <c r="M715" s="165"/>
    </row>
    <row r="716">
      <c r="I716" s="165"/>
      <c r="J716" s="165"/>
      <c r="K716" s="165"/>
      <c r="L716" s="165"/>
      <c r="M716" s="165"/>
    </row>
    <row r="717">
      <c r="I717" s="165"/>
      <c r="J717" s="165"/>
      <c r="K717" s="165"/>
      <c r="L717" s="165"/>
      <c r="M717" s="165"/>
    </row>
    <row r="718">
      <c r="I718" s="165"/>
      <c r="J718" s="165"/>
      <c r="K718" s="165"/>
      <c r="L718" s="165"/>
      <c r="M718" s="165"/>
    </row>
    <row r="719">
      <c r="I719" s="165"/>
      <c r="J719" s="165"/>
      <c r="K719" s="165"/>
      <c r="L719" s="165"/>
      <c r="M719" s="165"/>
    </row>
    <row r="720">
      <c r="I720" s="165"/>
      <c r="J720" s="165"/>
      <c r="K720" s="165"/>
      <c r="L720" s="165"/>
      <c r="M720" s="165"/>
    </row>
    <row r="721">
      <c r="I721" s="165"/>
      <c r="J721" s="165"/>
      <c r="K721" s="165"/>
      <c r="L721" s="165"/>
      <c r="M721" s="165"/>
    </row>
    <row r="722">
      <c r="I722" s="165"/>
      <c r="J722" s="165"/>
      <c r="K722" s="165"/>
      <c r="L722" s="165"/>
      <c r="M722" s="165"/>
    </row>
    <row r="723">
      <c r="I723" s="165"/>
      <c r="J723" s="165"/>
      <c r="K723" s="165"/>
      <c r="L723" s="165"/>
      <c r="M723" s="165"/>
    </row>
    <row r="724">
      <c r="I724" s="165"/>
      <c r="J724" s="165"/>
      <c r="K724" s="165"/>
      <c r="L724" s="165"/>
      <c r="M724" s="165"/>
    </row>
    <row r="725">
      <c r="I725" s="165"/>
      <c r="J725" s="165"/>
      <c r="K725" s="165"/>
      <c r="L725" s="165"/>
      <c r="M725" s="165"/>
    </row>
    <row r="726">
      <c r="I726" s="165"/>
      <c r="J726" s="165"/>
      <c r="K726" s="165"/>
      <c r="L726" s="165"/>
      <c r="M726" s="165"/>
    </row>
    <row r="727">
      <c r="I727" s="165"/>
      <c r="J727" s="165"/>
      <c r="K727" s="165"/>
      <c r="L727" s="165"/>
      <c r="M727" s="165"/>
    </row>
    <row r="728">
      <c r="I728" s="165"/>
      <c r="J728" s="165"/>
      <c r="K728" s="165"/>
      <c r="L728" s="165"/>
      <c r="M728" s="165"/>
    </row>
    <row r="729">
      <c r="I729" s="165"/>
      <c r="J729" s="165"/>
      <c r="K729" s="165"/>
      <c r="L729" s="165"/>
      <c r="M729" s="165"/>
    </row>
    <row r="730">
      <c r="I730" s="165"/>
      <c r="J730" s="165"/>
      <c r="K730" s="165"/>
      <c r="L730" s="165"/>
      <c r="M730" s="165"/>
    </row>
    <row r="731">
      <c r="I731" s="165"/>
      <c r="J731" s="165"/>
      <c r="K731" s="165"/>
      <c r="L731" s="165"/>
      <c r="M731" s="165"/>
    </row>
    <row r="732">
      <c r="I732" s="165"/>
      <c r="J732" s="165"/>
      <c r="K732" s="165"/>
      <c r="L732" s="165"/>
      <c r="M732" s="165"/>
    </row>
    <row r="733">
      <c r="I733" s="165"/>
      <c r="J733" s="165"/>
      <c r="K733" s="165"/>
      <c r="L733" s="165"/>
      <c r="M733" s="165"/>
    </row>
    <row r="734">
      <c r="I734" s="165"/>
      <c r="J734" s="165"/>
      <c r="K734" s="165"/>
      <c r="L734" s="165"/>
      <c r="M734" s="165"/>
    </row>
    <row r="735">
      <c r="I735" s="165"/>
      <c r="J735" s="165"/>
      <c r="K735" s="165"/>
      <c r="L735" s="165"/>
      <c r="M735" s="165"/>
    </row>
    <row r="736">
      <c r="I736" s="165"/>
      <c r="J736" s="165"/>
      <c r="K736" s="165"/>
      <c r="L736" s="165"/>
      <c r="M736" s="165"/>
    </row>
    <row r="737">
      <c r="I737" s="165"/>
      <c r="J737" s="165"/>
      <c r="K737" s="165"/>
      <c r="L737" s="165"/>
      <c r="M737" s="165"/>
    </row>
    <row r="738">
      <c r="I738" s="165"/>
      <c r="J738" s="165"/>
      <c r="K738" s="165"/>
      <c r="L738" s="165"/>
      <c r="M738" s="165"/>
    </row>
    <row r="739">
      <c r="I739" s="165"/>
      <c r="J739" s="165"/>
      <c r="K739" s="165"/>
      <c r="L739" s="165"/>
      <c r="M739" s="165"/>
    </row>
    <row r="740">
      <c r="I740" s="165"/>
      <c r="J740" s="165"/>
      <c r="K740" s="165"/>
      <c r="L740" s="165"/>
      <c r="M740" s="165"/>
    </row>
    <row r="741">
      <c r="I741" s="165"/>
      <c r="J741" s="165"/>
      <c r="K741" s="165"/>
      <c r="L741" s="165"/>
      <c r="M741" s="165"/>
    </row>
    <row r="742">
      <c r="I742" s="165"/>
      <c r="J742" s="165"/>
      <c r="K742" s="165"/>
      <c r="L742" s="165"/>
      <c r="M742" s="165"/>
    </row>
    <row r="743">
      <c r="I743" s="165"/>
      <c r="J743" s="165"/>
      <c r="K743" s="165"/>
      <c r="L743" s="165"/>
      <c r="M743" s="165"/>
    </row>
    <row r="744">
      <c r="I744" s="165"/>
      <c r="J744" s="165"/>
      <c r="K744" s="165"/>
      <c r="L744" s="165"/>
      <c r="M744" s="165"/>
    </row>
    <row r="745">
      <c r="I745" s="165"/>
      <c r="J745" s="165"/>
      <c r="K745" s="165"/>
      <c r="L745" s="165"/>
      <c r="M745" s="165"/>
    </row>
    <row r="746">
      <c r="I746" s="165"/>
      <c r="J746" s="165"/>
      <c r="K746" s="165"/>
      <c r="L746" s="165"/>
      <c r="M746" s="165"/>
    </row>
    <row r="747">
      <c r="I747" s="165"/>
      <c r="J747" s="165"/>
      <c r="K747" s="165"/>
      <c r="L747" s="165"/>
      <c r="M747" s="165"/>
    </row>
    <row r="748">
      <c r="I748" s="165"/>
      <c r="J748" s="165"/>
      <c r="K748" s="165"/>
      <c r="L748" s="165"/>
      <c r="M748" s="165"/>
    </row>
    <row r="749">
      <c r="I749" s="165"/>
      <c r="J749" s="165"/>
      <c r="K749" s="165"/>
      <c r="L749" s="165"/>
      <c r="M749" s="165"/>
    </row>
    <row r="750">
      <c r="I750" s="165"/>
      <c r="J750" s="165"/>
      <c r="K750" s="165"/>
      <c r="L750" s="165"/>
      <c r="M750" s="165"/>
    </row>
    <row r="751">
      <c r="I751" s="165"/>
      <c r="J751" s="165"/>
      <c r="K751" s="165"/>
      <c r="L751" s="165"/>
      <c r="M751" s="165"/>
    </row>
    <row r="752">
      <c r="I752" s="165"/>
      <c r="J752" s="165"/>
      <c r="K752" s="165"/>
      <c r="L752" s="165"/>
      <c r="M752" s="165"/>
    </row>
    <row r="753">
      <c r="I753" s="165"/>
      <c r="J753" s="165"/>
      <c r="K753" s="165"/>
      <c r="L753" s="165"/>
      <c r="M753" s="165"/>
    </row>
    <row r="754">
      <c r="I754" s="165"/>
      <c r="J754" s="165"/>
      <c r="K754" s="165"/>
      <c r="L754" s="165"/>
      <c r="M754" s="165"/>
    </row>
    <row r="755">
      <c r="I755" s="165"/>
      <c r="J755" s="165"/>
      <c r="K755" s="165"/>
      <c r="L755" s="165"/>
      <c r="M755" s="165"/>
    </row>
    <row r="756">
      <c r="I756" s="165"/>
      <c r="J756" s="165"/>
      <c r="K756" s="165"/>
      <c r="L756" s="165"/>
      <c r="M756" s="165"/>
    </row>
    <row r="757">
      <c r="I757" s="165"/>
      <c r="J757" s="165"/>
      <c r="K757" s="165"/>
      <c r="L757" s="165"/>
      <c r="M757" s="165"/>
    </row>
    <row r="758">
      <c r="I758" s="165"/>
      <c r="J758" s="165"/>
      <c r="K758" s="165"/>
      <c r="L758" s="165"/>
      <c r="M758" s="165"/>
    </row>
    <row r="759">
      <c r="I759" s="165"/>
      <c r="J759" s="165"/>
      <c r="K759" s="165"/>
      <c r="L759" s="165"/>
      <c r="M759" s="165"/>
    </row>
    <row r="760">
      <c r="I760" s="165"/>
      <c r="J760" s="165"/>
      <c r="K760" s="165"/>
      <c r="L760" s="165"/>
      <c r="M760" s="165"/>
    </row>
    <row r="761">
      <c r="I761" s="165"/>
      <c r="J761" s="165"/>
      <c r="K761" s="165"/>
      <c r="L761" s="165"/>
      <c r="M761" s="165"/>
    </row>
    <row r="762">
      <c r="I762" s="165"/>
      <c r="J762" s="165"/>
      <c r="K762" s="165"/>
      <c r="L762" s="165"/>
      <c r="M762" s="165"/>
    </row>
    <row r="763">
      <c r="I763" s="165"/>
      <c r="J763" s="165"/>
      <c r="K763" s="165"/>
      <c r="L763" s="165"/>
      <c r="M763" s="165"/>
    </row>
    <row r="764">
      <c r="I764" s="165"/>
      <c r="J764" s="165"/>
      <c r="K764" s="165"/>
      <c r="L764" s="165"/>
      <c r="M764" s="165"/>
    </row>
    <row r="765">
      <c r="I765" s="165"/>
      <c r="J765" s="165"/>
      <c r="K765" s="165"/>
      <c r="L765" s="165"/>
      <c r="M765" s="165"/>
    </row>
    <row r="766">
      <c r="I766" s="165"/>
      <c r="J766" s="165"/>
      <c r="K766" s="165"/>
      <c r="L766" s="165"/>
      <c r="M766" s="165"/>
    </row>
    <row r="767">
      <c r="I767" s="165"/>
      <c r="J767" s="165"/>
      <c r="K767" s="165"/>
      <c r="L767" s="165"/>
      <c r="M767" s="165"/>
    </row>
    <row r="768">
      <c r="I768" s="165"/>
      <c r="J768" s="165"/>
      <c r="K768" s="165"/>
      <c r="L768" s="165"/>
      <c r="M768" s="165"/>
    </row>
    <row r="769">
      <c r="I769" s="165"/>
      <c r="J769" s="165"/>
      <c r="K769" s="165"/>
      <c r="L769" s="165"/>
      <c r="M769" s="165"/>
    </row>
    <row r="770">
      <c r="I770" s="165"/>
      <c r="J770" s="165"/>
      <c r="K770" s="165"/>
      <c r="L770" s="165"/>
      <c r="M770" s="165"/>
    </row>
    <row r="771">
      <c r="I771" s="165"/>
      <c r="J771" s="165"/>
      <c r="K771" s="165"/>
      <c r="L771" s="165"/>
      <c r="M771" s="165"/>
    </row>
    <row r="772">
      <c r="I772" s="165"/>
      <c r="J772" s="165"/>
      <c r="K772" s="165"/>
      <c r="L772" s="165"/>
      <c r="M772" s="165"/>
    </row>
    <row r="773">
      <c r="I773" s="165"/>
      <c r="J773" s="165"/>
      <c r="K773" s="165"/>
      <c r="L773" s="165"/>
      <c r="M773" s="165"/>
    </row>
    <row r="774">
      <c r="I774" s="165"/>
      <c r="J774" s="165"/>
      <c r="K774" s="165"/>
      <c r="L774" s="165"/>
      <c r="M774" s="165"/>
    </row>
    <row r="775">
      <c r="I775" s="165"/>
      <c r="J775" s="165"/>
      <c r="K775" s="165"/>
      <c r="L775" s="165"/>
      <c r="M775" s="165"/>
    </row>
    <row r="776">
      <c r="I776" s="165"/>
      <c r="J776" s="165"/>
      <c r="K776" s="165"/>
      <c r="L776" s="165"/>
      <c r="M776" s="165"/>
    </row>
    <row r="777">
      <c r="I777" s="165"/>
      <c r="J777" s="165"/>
      <c r="K777" s="165"/>
      <c r="L777" s="165"/>
      <c r="M777" s="165"/>
    </row>
    <row r="778">
      <c r="I778" s="165"/>
      <c r="J778" s="165"/>
      <c r="K778" s="165"/>
      <c r="L778" s="165"/>
      <c r="M778" s="165"/>
    </row>
    <row r="779">
      <c r="I779" s="165"/>
      <c r="J779" s="165"/>
      <c r="K779" s="165"/>
      <c r="L779" s="165"/>
      <c r="M779" s="165"/>
    </row>
    <row r="780">
      <c r="I780" s="165"/>
      <c r="J780" s="165"/>
      <c r="K780" s="165"/>
      <c r="L780" s="165"/>
      <c r="M780" s="165"/>
    </row>
    <row r="781">
      <c r="I781" s="165"/>
      <c r="J781" s="165"/>
      <c r="K781" s="165"/>
      <c r="L781" s="165"/>
      <c r="M781" s="165"/>
    </row>
    <row r="782">
      <c r="I782" s="165"/>
      <c r="J782" s="165"/>
      <c r="K782" s="165"/>
      <c r="L782" s="165"/>
      <c r="M782" s="165"/>
    </row>
    <row r="783">
      <c r="I783" s="165"/>
      <c r="J783" s="165"/>
      <c r="K783" s="165"/>
      <c r="L783" s="165"/>
      <c r="M783" s="165"/>
    </row>
    <row r="784">
      <c r="I784" s="165"/>
      <c r="J784" s="165"/>
      <c r="K784" s="165"/>
      <c r="L784" s="165"/>
      <c r="M784" s="165"/>
    </row>
    <row r="785">
      <c r="I785" s="165"/>
      <c r="J785" s="165"/>
      <c r="K785" s="165"/>
      <c r="L785" s="165"/>
      <c r="M785" s="165"/>
    </row>
    <row r="786">
      <c r="I786" s="165"/>
      <c r="J786" s="165"/>
      <c r="K786" s="165"/>
      <c r="L786" s="165"/>
      <c r="M786" s="165"/>
    </row>
    <row r="787">
      <c r="I787" s="165"/>
      <c r="J787" s="165"/>
      <c r="K787" s="165"/>
      <c r="L787" s="165"/>
      <c r="M787" s="165"/>
    </row>
    <row r="788">
      <c r="I788" s="165"/>
      <c r="J788" s="165"/>
      <c r="K788" s="165"/>
      <c r="L788" s="165"/>
      <c r="M788" s="165"/>
    </row>
    <row r="789">
      <c r="I789" s="165"/>
      <c r="J789" s="165"/>
      <c r="K789" s="165"/>
      <c r="L789" s="165"/>
      <c r="M789" s="165"/>
    </row>
    <row r="790">
      <c r="I790" s="165"/>
      <c r="J790" s="165"/>
      <c r="K790" s="165"/>
      <c r="L790" s="165"/>
      <c r="M790" s="165"/>
    </row>
    <row r="791">
      <c r="I791" s="165"/>
      <c r="J791" s="165"/>
      <c r="K791" s="165"/>
      <c r="L791" s="165"/>
      <c r="M791" s="165"/>
    </row>
    <row r="792">
      <c r="I792" s="165"/>
      <c r="J792" s="165"/>
      <c r="K792" s="165"/>
      <c r="L792" s="165"/>
      <c r="M792" s="165"/>
    </row>
    <row r="793">
      <c r="I793" s="165"/>
      <c r="J793" s="165"/>
      <c r="K793" s="165"/>
      <c r="L793" s="165"/>
      <c r="M793" s="165"/>
    </row>
    <row r="794">
      <c r="I794" s="165"/>
      <c r="J794" s="165"/>
      <c r="K794" s="165"/>
      <c r="L794" s="165"/>
      <c r="M794" s="165"/>
    </row>
    <row r="795">
      <c r="I795" s="165"/>
      <c r="J795" s="165"/>
      <c r="K795" s="165"/>
      <c r="L795" s="165"/>
      <c r="M795" s="165"/>
    </row>
    <row r="796">
      <c r="I796" s="165"/>
      <c r="J796" s="165"/>
      <c r="K796" s="165"/>
      <c r="L796" s="165"/>
      <c r="M796" s="165"/>
    </row>
    <row r="797">
      <c r="I797" s="165"/>
      <c r="J797" s="165"/>
      <c r="K797" s="165"/>
      <c r="L797" s="165"/>
      <c r="M797" s="165"/>
    </row>
    <row r="798">
      <c r="I798" s="165"/>
      <c r="J798" s="165"/>
      <c r="K798" s="165"/>
      <c r="L798" s="165"/>
      <c r="M798" s="165"/>
    </row>
    <row r="799">
      <c r="I799" s="165"/>
      <c r="J799" s="165"/>
      <c r="K799" s="165"/>
      <c r="L799" s="165"/>
      <c r="M799" s="165"/>
    </row>
    <row r="800">
      <c r="I800" s="165"/>
      <c r="J800" s="165"/>
      <c r="K800" s="165"/>
      <c r="L800" s="165"/>
      <c r="M800" s="165"/>
    </row>
    <row r="801">
      <c r="I801" s="165"/>
      <c r="J801" s="165"/>
      <c r="K801" s="165"/>
      <c r="L801" s="165"/>
      <c r="M801" s="165"/>
    </row>
    <row r="802">
      <c r="I802" s="165"/>
      <c r="J802" s="165"/>
      <c r="K802" s="165"/>
      <c r="L802" s="165"/>
      <c r="M802" s="165"/>
    </row>
    <row r="803">
      <c r="I803" s="165"/>
      <c r="J803" s="165"/>
      <c r="K803" s="165"/>
      <c r="L803" s="165"/>
      <c r="M803" s="165"/>
    </row>
    <row r="804">
      <c r="I804" s="165"/>
      <c r="J804" s="165"/>
      <c r="K804" s="165"/>
      <c r="L804" s="165"/>
      <c r="M804" s="165"/>
    </row>
    <row r="805">
      <c r="I805" s="165"/>
      <c r="J805" s="165"/>
      <c r="K805" s="165"/>
      <c r="L805" s="165"/>
      <c r="M805" s="165"/>
    </row>
    <row r="806">
      <c r="I806" s="165"/>
      <c r="J806" s="165"/>
      <c r="K806" s="165"/>
      <c r="L806" s="165"/>
      <c r="M806" s="165"/>
    </row>
    <row r="807">
      <c r="I807" s="165"/>
      <c r="J807" s="165"/>
      <c r="K807" s="165"/>
      <c r="L807" s="165"/>
      <c r="M807" s="165"/>
    </row>
    <row r="808">
      <c r="I808" s="165"/>
      <c r="J808" s="165"/>
      <c r="K808" s="165"/>
      <c r="L808" s="165"/>
      <c r="M808" s="165"/>
    </row>
    <row r="809">
      <c r="I809" s="165"/>
      <c r="J809" s="165"/>
      <c r="K809" s="165"/>
      <c r="L809" s="165"/>
      <c r="M809" s="165"/>
    </row>
    <row r="810">
      <c r="I810" s="165"/>
      <c r="J810" s="165"/>
      <c r="K810" s="165"/>
      <c r="L810" s="165"/>
      <c r="M810" s="165"/>
    </row>
    <row r="811">
      <c r="I811" s="165"/>
      <c r="J811" s="165"/>
      <c r="K811" s="165"/>
      <c r="L811" s="165"/>
      <c r="M811" s="165"/>
    </row>
    <row r="812">
      <c r="I812" s="165"/>
      <c r="J812" s="165"/>
      <c r="K812" s="165"/>
      <c r="L812" s="165"/>
      <c r="M812" s="165"/>
    </row>
    <row r="813">
      <c r="I813" s="165"/>
      <c r="J813" s="165"/>
      <c r="K813" s="165"/>
      <c r="L813" s="165"/>
      <c r="M813" s="165"/>
    </row>
    <row r="814">
      <c r="I814" s="165"/>
      <c r="J814" s="165"/>
      <c r="K814" s="165"/>
      <c r="L814" s="165"/>
      <c r="M814" s="165"/>
    </row>
    <row r="815">
      <c r="I815" s="165"/>
      <c r="J815" s="165"/>
      <c r="K815" s="165"/>
      <c r="L815" s="165"/>
      <c r="M815" s="165"/>
    </row>
    <row r="816">
      <c r="I816" s="165"/>
      <c r="J816" s="165"/>
      <c r="K816" s="165"/>
      <c r="L816" s="165"/>
      <c r="M816" s="165"/>
    </row>
    <row r="817">
      <c r="I817" s="165"/>
      <c r="J817" s="165"/>
      <c r="K817" s="165"/>
      <c r="L817" s="165"/>
      <c r="M817" s="165"/>
    </row>
    <row r="818">
      <c r="I818" s="165"/>
      <c r="J818" s="165"/>
      <c r="K818" s="165"/>
      <c r="L818" s="165"/>
      <c r="M818" s="165"/>
    </row>
    <row r="819">
      <c r="I819" s="165"/>
      <c r="J819" s="165"/>
      <c r="K819" s="165"/>
      <c r="L819" s="165"/>
      <c r="M819" s="165"/>
    </row>
    <row r="820">
      <c r="I820" s="165"/>
      <c r="J820" s="165"/>
      <c r="K820" s="165"/>
      <c r="L820" s="165"/>
      <c r="M820" s="165"/>
    </row>
    <row r="821">
      <c r="I821" s="165"/>
      <c r="J821" s="165"/>
      <c r="K821" s="165"/>
      <c r="L821" s="165"/>
      <c r="M821" s="165"/>
    </row>
    <row r="822">
      <c r="I822" s="165"/>
      <c r="J822" s="165"/>
      <c r="K822" s="165"/>
      <c r="L822" s="165"/>
      <c r="M822" s="165"/>
    </row>
    <row r="823">
      <c r="I823" s="165"/>
      <c r="J823" s="165"/>
      <c r="K823" s="165"/>
      <c r="L823" s="165"/>
      <c r="M823" s="165"/>
    </row>
    <row r="824">
      <c r="I824" s="165"/>
      <c r="J824" s="165"/>
      <c r="K824" s="165"/>
      <c r="L824" s="165"/>
      <c r="M824" s="165"/>
    </row>
    <row r="825">
      <c r="I825" s="165"/>
      <c r="J825" s="165"/>
      <c r="K825" s="165"/>
      <c r="L825" s="165"/>
      <c r="M825" s="165"/>
    </row>
    <row r="826">
      <c r="I826" s="165"/>
      <c r="J826" s="165"/>
      <c r="K826" s="165"/>
      <c r="L826" s="165"/>
      <c r="M826" s="165"/>
    </row>
    <row r="827">
      <c r="I827" s="165"/>
      <c r="J827" s="165"/>
      <c r="K827" s="165"/>
      <c r="L827" s="165"/>
      <c r="M827" s="165"/>
    </row>
    <row r="828">
      <c r="I828" s="165"/>
      <c r="J828" s="165"/>
      <c r="K828" s="165"/>
      <c r="L828" s="165"/>
      <c r="M828" s="165"/>
    </row>
    <row r="829">
      <c r="I829" s="165"/>
      <c r="J829" s="165"/>
      <c r="K829" s="165"/>
      <c r="L829" s="165"/>
      <c r="M829" s="165"/>
    </row>
    <row r="830">
      <c r="I830" s="165"/>
      <c r="J830" s="165"/>
      <c r="K830" s="165"/>
      <c r="L830" s="165"/>
      <c r="M830" s="165"/>
    </row>
    <row r="831">
      <c r="I831" s="165"/>
      <c r="J831" s="165"/>
      <c r="K831" s="165"/>
      <c r="L831" s="165"/>
      <c r="M831" s="165"/>
    </row>
    <row r="832">
      <c r="I832" s="165"/>
      <c r="J832" s="165"/>
      <c r="K832" s="165"/>
      <c r="L832" s="165"/>
      <c r="M832" s="165"/>
    </row>
    <row r="833">
      <c r="I833" s="165"/>
      <c r="J833" s="165"/>
      <c r="K833" s="165"/>
      <c r="L833" s="165"/>
      <c r="M833" s="165"/>
    </row>
    <row r="834">
      <c r="I834" s="165"/>
      <c r="J834" s="165"/>
      <c r="K834" s="165"/>
      <c r="L834" s="165"/>
      <c r="M834" s="165"/>
    </row>
    <row r="835">
      <c r="I835" s="165"/>
      <c r="J835" s="165"/>
      <c r="K835" s="165"/>
      <c r="L835" s="165"/>
      <c r="M835" s="165"/>
    </row>
    <row r="836">
      <c r="I836" s="165"/>
      <c r="J836" s="165"/>
      <c r="K836" s="165"/>
      <c r="L836" s="165"/>
      <c r="M836" s="165"/>
    </row>
    <row r="837">
      <c r="I837" s="165"/>
      <c r="J837" s="165"/>
      <c r="K837" s="165"/>
      <c r="L837" s="165"/>
      <c r="M837" s="165"/>
    </row>
    <row r="838">
      <c r="I838" s="165"/>
      <c r="J838" s="165"/>
      <c r="K838" s="165"/>
      <c r="L838" s="165"/>
      <c r="M838" s="165"/>
    </row>
    <row r="839">
      <c r="I839" s="165"/>
      <c r="J839" s="165"/>
      <c r="K839" s="165"/>
      <c r="L839" s="165"/>
      <c r="M839" s="165"/>
    </row>
    <row r="840">
      <c r="I840" s="165"/>
      <c r="J840" s="165"/>
      <c r="K840" s="165"/>
      <c r="L840" s="165"/>
      <c r="M840" s="165"/>
    </row>
    <row r="841">
      <c r="I841" s="165"/>
      <c r="J841" s="165"/>
      <c r="K841" s="165"/>
      <c r="L841" s="165"/>
      <c r="M841" s="165"/>
    </row>
    <row r="842">
      <c r="I842" s="165"/>
      <c r="J842" s="165"/>
      <c r="K842" s="165"/>
      <c r="L842" s="165"/>
      <c r="M842" s="165"/>
    </row>
    <row r="843">
      <c r="I843" s="165"/>
      <c r="J843" s="165"/>
      <c r="K843" s="165"/>
      <c r="L843" s="165"/>
      <c r="M843" s="165"/>
    </row>
    <row r="844">
      <c r="I844" s="165"/>
      <c r="J844" s="165"/>
      <c r="K844" s="165"/>
      <c r="L844" s="165"/>
      <c r="M844" s="165"/>
    </row>
    <row r="845">
      <c r="I845" s="165"/>
      <c r="J845" s="165"/>
      <c r="K845" s="165"/>
      <c r="L845" s="165"/>
      <c r="M845" s="165"/>
    </row>
    <row r="846">
      <c r="I846" s="165"/>
      <c r="J846" s="165"/>
      <c r="K846" s="165"/>
      <c r="L846" s="165"/>
      <c r="M846" s="165"/>
    </row>
    <row r="847">
      <c r="I847" s="165"/>
      <c r="J847" s="165"/>
      <c r="K847" s="165"/>
      <c r="L847" s="165"/>
      <c r="M847" s="165"/>
    </row>
    <row r="848">
      <c r="I848" s="165"/>
      <c r="J848" s="165"/>
      <c r="K848" s="165"/>
      <c r="L848" s="165"/>
      <c r="M848" s="165"/>
    </row>
    <row r="849">
      <c r="I849" s="165"/>
      <c r="J849" s="165"/>
      <c r="K849" s="165"/>
      <c r="L849" s="165"/>
      <c r="M849" s="165"/>
    </row>
    <row r="850">
      <c r="I850" s="165"/>
      <c r="J850" s="165"/>
      <c r="K850" s="165"/>
      <c r="L850" s="165"/>
      <c r="M850" s="165"/>
    </row>
    <row r="851">
      <c r="I851" s="165"/>
      <c r="J851" s="165"/>
      <c r="K851" s="165"/>
      <c r="L851" s="165"/>
      <c r="M851" s="165"/>
    </row>
    <row r="852">
      <c r="I852" s="165"/>
      <c r="J852" s="165"/>
      <c r="K852" s="165"/>
      <c r="L852" s="165"/>
      <c r="M852" s="165"/>
    </row>
    <row r="853">
      <c r="I853" s="165"/>
      <c r="J853" s="165"/>
      <c r="K853" s="165"/>
      <c r="L853" s="165"/>
      <c r="M853" s="165"/>
    </row>
    <row r="854">
      <c r="I854" s="165"/>
      <c r="J854" s="165"/>
      <c r="K854" s="165"/>
      <c r="L854" s="165"/>
      <c r="M854" s="165"/>
    </row>
    <row r="855">
      <c r="I855" s="165"/>
      <c r="J855" s="165"/>
      <c r="K855" s="165"/>
      <c r="L855" s="165"/>
      <c r="M855" s="165"/>
    </row>
    <row r="856">
      <c r="I856" s="165"/>
      <c r="J856" s="165"/>
      <c r="K856" s="165"/>
      <c r="L856" s="165"/>
      <c r="M856" s="165"/>
    </row>
    <row r="857">
      <c r="I857" s="165"/>
      <c r="J857" s="165"/>
      <c r="K857" s="165"/>
      <c r="L857" s="165"/>
      <c r="M857" s="165"/>
    </row>
    <row r="858">
      <c r="I858" s="165"/>
      <c r="J858" s="165"/>
      <c r="K858" s="165"/>
      <c r="L858" s="165"/>
      <c r="M858" s="165"/>
    </row>
    <row r="859">
      <c r="I859" s="165"/>
      <c r="J859" s="165"/>
      <c r="K859" s="165"/>
      <c r="L859" s="165"/>
      <c r="M859" s="165"/>
    </row>
    <row r="860">
      <c r="I860" s="165"/>
      <c r="J860" s="165"/>
      <c r="K860" s="165"/>
      <c r="L860" s="165"/>
      <c r="M860" s="165"/>
    </row>
    <row r="861">
      <c r="I861" s="165"/>
      <c r="J861" s="165"/>
      <c r="K861" s="165"/>
      <c r="L861" s="165"/>
      <c r="M861" s="165"/>
    </row>
    <row r="862">
      <c r="I862" s="165"/>
      <c r="J862" s="165"/>
      <c r="K862" s="165"/>
      <c r="L862" s="165"/>
      <c r="M862" s="165"/>
    </row>
    <row r="863">
      <c r="I863" s="165"/>
      <c r="J863" s="165"/>
      <c r="K863" s="165"/>
      <c r="L863" s="165"/>
      <c r="M863" s="165"/>
    </row>
    <row r="864">
      <c r="I864" s="165"/>
      <c r="J864" s="165"/>
      <c r="K864" s="165"/>
      <c r="L864" s="165"/>
      <c r="M864" s="165"/>
    </row>
    <row r="865">
      <c r="I865" s="165"/>
      <c r="J865" s="165"/>
      <c r="K865" s="165"/>
      <c r="L865" s="165"/>
      <c r="M865" s="165"/>
    </row>
    <row r="866">
      <c r="I866" s="165"/>
      <c r="J866" s="165"/>
      <c r="K866" s="165"/>
      <c r="L866" s="165"/>
      <c r="M866" s="165"/>
    </row>
    <row r="867">
      <c r="I867" s="165"/>
      <c r="J867" s="165"/>
      <c r="K867" s="165"/>
      <c r="L867" s="165"/>
      <c r="M867" s="165"/>
    </row>
    <row r="868">
      <c r="I868" s="165"/>
      <c r="J868" s="165"/>
      <c r="K868" s="165"/>
      <c r="L868" s="165"/>
      <c r="M868" s="165"/>
    </row>
    <row r="869">
      <c r="I869" s="165"/>
      <c r="J869" s="165"/>
      <c r="K869" s="165"/>
      <c r="L869" s="165"/>
      <c r="M869" s="165"/>
    </row>
    <row r="870">
      <c r="I870" s="165"/>
      <c r="J870" s="165"/>
      <c r="K870" s="165"/>
      <c r="L870" s="165"/>
      <c r="M870" s="165"/>
    </row>
    <row r="871">
      <c r="I871" s="165"/>
      <c r="J871" s="165"/>
      <c r="K871" s="165"/>
      <c r="L871" s="165"/>
      <c r="M871" s="165"/>
    </row>
    <row r="872">
      <c r="I872" s="165"/>
      <c r="J872" s="165"/>
      <c r="K872" s="165"/>
      <c r="L872" s="165"/>
      <c r="M872" s="165"/>
    </row>
    <row r="873">
      <c r="I873" s="165"/>
      <c r="J873" s="165"/>
      <c r="K873" s="165"/>
      <c r="L873" s="165"/>
      <c r="M873" s="165"/>
    </row>
    <row r="874">
      <c r="I874" s="165"/>
      <c r="J874" s="165"/>
      <c r="K874" s="165"/>
      <c r="L874" s="165"/>
      <c r="M874" s="165"/>
    </row>
    <row r="875">
      <c r="I875" s="165"/>
      <c r="J875" s="165"/>
      <c r="K875" s="165"/>
      <c r="L875" s="165"/>
      <c r="M875" s="165"/>
    </row>
    <row r="876">
      <c r="I876" s="165"/>
      <c r="J876" s="165"/>
      <c r="K876" s="165"/>
      <c r="L876" s="165"/>
      <c r="M876" s="165"/>
    </row>
    <row r="877">
      <c r="I877" s="165"/>
      <c r="J877" s="165"/>
      <c r="K877" s="165"/>
      <c r="L877" s="165"/>
      <c r="M877" s="165"/>
    </row>
    <row r="878">
      <c r="I878" s="165"/>
      <c r="J878" s="165"/>
      <c r="K878" s="165"/>
      <c r="L878" s="165"/>
      <c r="M878" s="165"/>
    </row>
    <row r="879">
      <c r="I879" s="165"/>
      <c r="J879" s="165"/>
      <c r="K879" s="165"/>
      <c r="L879" s="165"/>
      <c r="M879" s="165"/>
    </row>
    <row r="880">
      <c r="I880" s="165"/>
      <c r="J880" s="165"/>
      <c r="K880" s="165"/>
      <c r="L880" s="165"/>
      <c r="M880" s="165"/>
    </row>
    <row r="881">
      <c r="I881" s="165"/>
      <c r="J881" s="165"/>
      <c r="K881" s="165"/>
      <c r="L881" s="165"/>
      <c r="M881" s="165"/>
    </row>
    <row r="882">
      <c r="I882" s="165"/>
      <c r="J882" s="165"/>
      <c r="K882" s="165"/>
      <c r="L882" s="165"/>
      <c r="M882" s="165"/>
    </row>
    <row r="883">
      <c r="I883" s="165"/>
      <c r="J883" s="165"/>
      <c r="K883" s="165"/>
      <c r="L883" s="165"/>
      <c r="M883" s="165"/>
    </row>
    <row r="884">
      <c r="I884" s="165"/>
      <c r="J884" s="165"/>
      <c r="K884" s="165"/>
      <c r="L884" s="165"/>
      <c r="M884" s="165"/>
    </row>
    <row r="885">
      <c r="I885" s="165"/>
      <c r="J885" s="165"/>
      <c r="K885" s="165"/>
      <c r="L885" s="165"/>
      <c r="M885" s="165"/>
    </row>
    <row r="886">
      <c r="I886" s="165"/>
      <c r="J886" s="165"/>
      <c r="K886" s="165"/>
      <c r="L886" s="165"/>
      <c r="M886" s="165"/>
    </row>
    <row r="887">
      <c r="I887" s="165"/>
      <c r="J887" s="165"/>
      <c r="K887" s="165"/>
      <c r="L887" s="165"/>
      <c r="M887" s="165"/>
    </row>
    <row r="888">
      <c r="I888" s="165"/>
      <c r="J888" s="165"/>
      <c r="K888" s="165"/>
      <c r="L888" s="165"/>
      <c r="M888" s="165"/>
    </row>
    <row r="889">
      <c r="I889" s="165"/>
      <c r="J889" s="165"/>
      <c r="K889" s="165"/>
      <c r="L889" s="165"/>
      <c r="M889" s="165"/>
    </row>
    <row r="890">
      <c r="I890" s="165"/>
      <c r="J890" s="165"/>
      <c r="K890" s="165"/>
      <c r="L890" s="165"/>
      <c r="M890" s="165"/>
    </row>
    <row r="891">
      <c r="I891" s="165"/>
      <c r="J891" s="165"/>
      <c r="K891" s="165"/>
      <c r="L891" s="165"/>
      <c r="M891" s="165"/>
    </row>
    <row r="892">
      <c r="I892" s="165"/>
      <c r="J892" s="165"/>
      <c r="K892" s="165"/>
      <c r="L892" s="165"/>
      <c r="M892" s="165"/>
    </row>
    <row r="893">
      <c r="I893" s="165"/>
      <c r="J893" s="165"/>
      <c r="K893" s="165"/>
      <c r="L893" s="165"/>
      <c r="M893" s="165"/>
    </row>
    <row r="894">
      <c r="I894" s="165"/>
      <c r="J894" s="165"/>
      <c r="K894" s="165"/>
      <c r="L894" s="165"/>
      <c r="M894" s="165"/>
    </row>
    <row r="895">
      <c r="I895" s="165"/>
      <c r="J895" s="165"/>
      <c r="K895" s="165"/>
      <c r="L895" s="165"/>
      <c r="M895" s="165"/>
    </row>
    <row r="896">
      <c r="I896" s="165"/>
      <c r="J896" s="165"/>
      <c r="K896" s="165"/>
      <c r="L896" s="165"/>
      <c r="M896" s="165"/>
    </row>
    <row r="897">
      <c r="I897" s="165"/>
      <c r="J897" s="165"/>
      <c r="K897" s="165"/>
      <c r="L897" s="165"/>
      <c r="M897" s="165"/>
    </row>
    <row r="898">
      <c r="I898" s="165"/>
      <c r="J898" s="165"/>
      <c r="K898" s="165"/>
      <c r="L898" s="165"/>
      <c r="M898" s="165"/>
    </row>
    <row r="899">
      <c r="I899" s="165"/>
      <c r="J899" s="165"/>
      <c r="K899" s="165"/>
      <c r="L899" s="165"/>
      <c r="M899" s="165"/>
    </row>
    <row r="900">
      <c r="I900" s="165"/>
      <c r="J900" s="165"/>
      <c r="K900" s="165"/>
      <c r="L900" s="165"/>
      <c r="M900" s="165"/>
    </row>
    <row r="901">
      <c r="I901" s="165"/>
      <c r="J901" s="165"/>
      <c r="K901" s="165"/>
      <c r="L901" s="165"/>
      <c r="M901" s="165"/>
    </row>
    <row r="902">
      <c r="I902" s="165"/>
      <c r="J902" s="165"/>
      <c r="K902" s="165"/>
      <c r="L902" s="165"/>
      <c r="M902" s="165"/>
    </row>
    <row r="903">
      <c r="I903" s="165"/>
      <c r="J903" s="165"/>
      <c r="K903" s="165"/>
      <c r="L903" s="165"/>
      <c r="M903" s="165"/>
    </row>
    <row r="904">
      <c r="I904" s="165"/>
      <c r="J904" s="165"/>
      <c r="K904" s="165"/>
      <c r="L904" s="165"/>
      <c r="M904" s="165"/>
    </row>
    <row r="905">
      <c r="I905" s="165"/>
      <c r="J905" s="165"/>
      <c r="K905" s="165"/>
      <c r="L905" s="165"/>
      <c r="M905" s="165"/>
    </row>
    <row r="906">
      <c r="I906" s="165"/>
      <c r="J906" s="165"/>
      <c r="K906" s="165"/>
      <c r="L906" s="165"/>
      <c r="M906" s="165"/>
    </row>
    <row r="907">
      <c r="I907" s="165"/>
      <c r="J907" s="165"/>
      <c r="K907" s="165"/>
      <c r="L907" s="165"/>
      <c r="M907" s="165"/>
    </row>
    <row r="908">
      <c r="I908" s="165"/>
      <c r="J908" s="165"/>
      <c r="K908" s="165"/>
      <c r="L908" s="165"/>
      <c r="M908" s="165"/>
    </row>
    <row r="909">
      <c r="I909" s="165"/>
      <c r="J909" s="165"/>
      <c r="K909" s="165"/>
      <c r="L909" s="165"/>
      <c r="M909" s="165"/>
    </row>
    <row r="910">
      <c r="I910" s="165"/>
      <c r="J910" s="165"/>
      <c r="K910" s="165"/>
      <c r="L910" s="165"/>
      <c r="M910" s="165"/>
    </row>
    <row r="911">
      <c r="I911" s="165"/>
      <c r="J911" s="165"/>
      <c r="K911" s="165"/>
      <c r="L911" s="165"/>
      <c r="M911" s="165"/>
    </row>
    <row r="912">
      <c r="I912" s="165"/>
      <c r="J912" s="165"/>
      <c r="K912" s="165"/>
      <c r="L912" s="165"/>
      <c r="M912" s="165"/>
    </row>
    <row r="913">
      <c r="I913" s="165"/>
      <c r="J913" s="165"/>
      <c r="K913" s="165"/>
      <c r="L913" s="165"/>
      <c r="M913" s="165"/>
    </row>
    <row r="914">
      <c r="I914" s="165"/>
      <c r="J914" s="165"/>
      <c r="K914" s="165"/>
      <c r="L914" s="165"/>
      <c r="M914" s="165"/>
    </row>
    <row r="915">
      <c r="I915" s="165"/>
      <c r="J915" s="165"/>
      <c r="K915" s="165"/>
      <c r="L915" s="165"/>
      <c r="M915" s="165"/>
    </row>
    <row r="916">
      <c r="I916" s="165"/>
      <c r="J916" s="165"/>
      <c r="K916" s="165"/>
      <c r="L916" s="165"/>
      <c r="M916" s="165"/>
    </row>
    <row r="917">
      <c r="I917" s="165"/>
      <c r="J917" s="165"/>
      <c r="K917" s="165"/>
      <c r="L917" s="165"/>
      <c r="M917" s="165"/>
    </row>
    <row r="918">
      <c r="I918" s="165"/>
      <c r="J918" s="165"/>
      <c r="K918" s="165"/>
      <c r="L918" s="165"/>
      <c r="M918" s="165"/>
    </row>
    <row r="919">
      <c r="I919" s="165"/>
      <c r="J919" s="165"/>
      <c r="K919" s="165"/>
      <c r="L919" s="165"/>
      <c r="M919" s="165"/>
    </row>
    <row r="920">
      <c r="I920" s="165"/>
      <c r="J920" s="165"/>
      <c r="K920" s="165"/>
      <c r="L920" s="165"/>
      <c r="M920" s="165"/>
    </row>
    <row r="921">
      <c r="I921" s="165"/>
      <c r="J921" s="165"/>
      <c r="K921" s="165"/>
      <c r="L921" s="165"/>
      <c r="M921" s="165"/>
    </row>
    <row r="922">
      <c r="I922" s="165"/>
      <c r="J922" s="165"/>
      <c r="K922" s="165"/>
      <c r="L922" s="165"/>
      <c r="M922" s="165"/>
    </row>
    <row r="923">
      <c r="I923" s="165"/>
      <c r="J923" s="165"/>
      <c r="K923" s="165"/>
      <c r="L923" s="165"/>
      <c r="M923" s="165"/>
    </row>
    <row r="924">
      <c r="I924" s="165"/>
      <c r="J924" s="165"/>
      <c r="K924" s="165"/>
      <c r="L924" s="165"/>
      <c r="M924" s="165"/>
    </row>
    <row r="925">
      <c r="I925" s="165"/>
      <c r="J925" s="165"/>
      <c r="K925" s="165"/>
      <c r="L925" s="165"/>
      <c r="M925" s="165"/>
    </row>
    <row r="926">
      <c r="I926" s="165"/>
      <c r="J926" s="165"/>
      <c r="K926" s="165"/>
      <c r="L926" s="165"/>
      <c r="M926" s="165"/>
    </row>
    <row r="927">
      <c r="I927" s="165"/>
      <c r="J927" s="165"/>
      <c r="K927" s="165"/>
      <c r="L927" s="165"/>
      <c r="M927" s="165"/>
    </row>
    <row r="928">
      <c r="I928" s="165"/>
      <c r="J928" s="165"/>
      <c r="K928" s="165"/>
      <c r="L928" s="165"/>
      <c r="M928" s="165"/>
    </row>
    <row r="929">
      <c r="I929" s="165"/>
      <c r="J929" s="165"/>
      <c r="K929" s="165"/>
      <c r="L929" s="165"/>
      <c r="M929" s="165"/>
    </row>
    <row r="930">
      <c r="I930" s="165"/>
      <c r="J930" s="165"/>
      <c r="K930" s="165"/>
      <c r="L930" s="165"/>
      <c r="M930" s="165"/>
    </row>
    <row r="931">
      <c r="I931" s="165"/>
      <c r="J931" s="165"/>
      <c r="K931" s="165"/>
      <c r="L931" s="165"/>
      <c r="M931" s="165"/>
    </row>
    <row r="932">
      <c r="I932" s="165"/>
      <c r="J932" s="165"/>
      <c r="K932" s="165"/>
      <c r="L932" s="165"/>
      <c r="M932" s="165"/>
    </row>
    <row r="933">
      <c r="I933" s="165"/>
      <c r="J933" s="165"/>
      <c r="K933" s="165"/>
      <c r="L933" s="165"/>
      <c r="M933" s="165"/>
    </row>
    <row r="934">
      <c r="I934" s="165"/>
      <c r="J934" s="165"/>
      <c r="K934" s="165"/>
      <c r="L934" s="165"/>
      <c r="M934" s="165"/>
    </row>
    <row r="935">
      <c r="I935" s="165"/>
      <c r="J935" s="165"/>
      <c r="K935" s="165"/>
      <c r="L935" s="165"/>
      <c r="M935" s="165"/>
    </row>
    <row r="936">
      <c r="I936" s="165"/>
      <c r="J936" s="165"/>
      <c r="K936" s="165"/>
      <c r="L936" s="165"/>
      <c r="M936" s="165"/>
    </row>
    <row r="937">
      <c r="I937" s="165"/>
      <c r="J937" s="165"/>
      <c r="K937" s="165"/>
      <c r="L937" s="165"/>
      <c r="M937" s="165"/>
    </row>
    <row r="938">
      <c r="I938" s="165"/>
      <c r="J938" s="165"/>
      <c r="K938" s="165"/>
      <c r="L938" s="165"/>
      <c r="M938" s="165"/>
    </row>
    <row r="939">
      <c r="I939" s="165"/>
      <c r="J939" s="165"/>
      <c r="K939" s="165"/>
      <c r="L939" s="165"/>
      <c r="M939" s="165"/>
    </row>
    <row r="940">
      <c r="I940" s="165"/>
      <c r="J940" s="165"/>
      <c r="K940" s="165"/>
      <c r="L940" s="165"/>
      <c r="M940" s="165"/>
    </row>
    <row r="941">
      <c r="I941" s="165"/>
      <c r="J941" s="165"/>
      <c r="K941" s="165"/>
      <c r="L941" s="165"/>
      <c r="M941" s="165"/>
    </row>
    <row r="942">
      <c r="I942" s="165"/>
      <c r="J942" s="165"/>
      <c r="K942" s="165"/>
      <c r="L942" s="165"/>
      <c r="M942" s="165"/>
    </row>
    <row r="943">
      <c r="I943" s="165"/>
      <c r="J943" s="165"/>
      <c r="K943" s="165"/>
      <c r="L943" s="165"/>
      <c r="M943" s="165"/>
    </row>
    <row r="944">
      <c r="I944" s="165"/>
      <c r="J944" s="165"/>
      <c r="K944" s="165"/>
      <c r="L944" s="165"/>
      <c r="M944" s="165"/>
    </row>
    <row r="945">
      <c r="I945" s="165"/>
      <c r="J945" s="165"/>
      <c r="K945" s="165"/>
      <c r="L945" s="165"/>
      <c r="M945" s="165"/>
    </row>
    <row r="946">
      <c r="I946" s="165"/>
      <c r="J946" s="165"/>
      <c r="K946" s="165"/>
      <c r="L946" s="165"/>
      <c r="M946" s="165"/>
    </row>
    <row r="947">
      <c r="I947" s="165"/>
      <c r="J947" s="165"/>
      <c r="K947" s="165"/>
      <c r="L947" s="165"/>
      <c r="M947" s="165"/>
    </row>
    <row r="948">
      <c r="I948" s="165"/>
      <c r="J948" s="165"/>
      <c r="K948" s="165"/>
      <c r="L948" s="165"/>
      <c r="M948" s="165"/>
    </row>
    <row r="949">
      <c r="I949" s="165"/>
      <c r="J949" s="165"/>
      <c r="K949" s="165"/>
      <c r="L949" s="165"/>
      <c r="M949" s="165"/>
    </row>
    <row r="950">
      <c r="I950" s="165"/>
      <c r="J950" s="165"/>
      <c r="K950" s="165"/>
      <c r="L950" s="165"/>
      <c r="M950" s="165"/>
    </row>
    <row r="951">
      <c r="I951" s="165"/>
      <c r="J951" s="165"/>
      <c r="K951" s="165"/>
      <c r="L951" s="165"/>
      <c r="M951" s="165"/>
    </row>
    <row r="952">
      <c r="I952" s="165"/>
      <c r="J952" s="165"/>
      <c r="K952" s="165"/>
      <c r="L952" s="165"/>
      <c r="M952" s="165"/>
    </row>
    <row r="953">
      <c r="I953" s="165"/>
      <c r="J953" s="165"/>
      <c r="K953" s="165"/>
      <c r="L953" s="165"/>
      <c r="M953" s="165"/>
    </row>
    <row r="954">
      <c r="I954" s="165"/>
      <c r="J954" s="165"/>
      <c r="K954" s="165"/>
      <c r="L954" s="165"/>
      <c r="M954" s="165"/>
    </row>
    <row r="955">
      <c r="I955" s="165"/>
      <c r="J955" s="165"/>
      <c r="K955" s="165"/>
      <c r="L955" s="165"/>
      <c r="M955" s="165"/>
    </row>
    <row r="956">
      <c r="I956" s="165"/>
      <c r="J956" s="165"/>
      <c r="K956" s="165"/>
      <c r="L956" s="165"/>
      <c r="M956" s="165"/>
    </row>
    <row r="957">
      <c r="I957" s="165"/>
      <c r="J957" s="165"/>
      <c r="K957" s="165"/>
      <c r="L957" s="165"/>
      <c r="M957" s="165"/>
    </row>
    <row r="958">
      <c r="I958" s="165"/>
      <c r="J958" s="165"/>
      <c r="K958" s="165"/>
      <c r="L958" s="165"/>
      <c r="M958" s="165"/>
    </row>
    <row r="959">
      <c r="I959" s="165"/>
      <c r="J959" s="165"/>
      <c r="K959" s="165"/>
      <c r="L959" s="165"/>
      <c r="M959" s="165"/>
    </row>
    <row r="960">
      <c r="I960" s="165"/>
      <c r="J960" s="165"/>
      <c r="K960" s="165"/>
      <c r="L960" s="165"/>
      <c r="M960" s="165"/>
    </row>
    <row r="961">
      <c r="I961" s="165"/>
      <c r="J961" s="165"/>
      <c r="K961" s="165"/>
      <c r="L961" s="165"/>
      <c r="M961" s="165"/>
    </row>
    <row r="962">
      <c r="I962" s="165"/>
      <c r="J962" s="165"/>
      <c r="K962" s="165"/>
      <c r="L962" s="165"/>
      <c r="M962" s="165"/>
    </row>
    <row r="963">
      <c r="I963" s="165"/>
      <c r="J963" s="165"/>
      <c r="K963" s="165"/>
      <c r="L963" s="165"/>
      <c r="M963" s="165"/>
    </row>
    <row r="964">
      <c r="I964" s="165"/>
      <c r="J964" s="165"/>
      <c r="K964" s="165"/>
      <c r="L964" s="165"/>
      <c r="M964" s="165"/>
    </row>
    <row r="965">
      <c r="I965" s="165"/>
      <c r="J965" s="165"/>
      <c r="K965" s="165"/>
      <c r="L965" s="165"/>
      <c r="M965" s="165"/>
    </row>
    <row r="966">
      <c r="I966" s="165"/>
      <c r="J966" s="165"/>
      <c r="K966" s="165"/>
      <c r="L966" s="165"/>
      <c r="M966" s="165"/>
    </row>
    <row r="967">
      <c r="I967" s="165"/>
      <c r="J967" s="165"/>
      <c r="K967" s="165"/>
      <c r="L967" s="165"/>
      <c r="M967" s="165"/>
    </row>
    <row r="968">
      <c r="I968" s="165"/>
      <c r="J968" s="165"/>
      <c r="K968" s="165"/>
      <c r="L968" s="165"/>
      <c r="M968" s="165"/>
    </row>
    <row r="969">
      <c r="I969" s="165"/>
      <c r="J969" s="165"/>
      <c r="K969" s="165"/>
      <c r="L969" s="165"/>
      <c r="M969" s="165"/>
    </row>
    <row r="970">
      <c r="I970" s="165"/>
      <c r="J970" s="165"/>
      <c r="K970" s="165"/>
      <c r="L970" s="165"/>
      <c r="M970" s="165"/>
    </row>
    <row r="971">
      <c r="I971" s="165"/>
      <c r="J971" s="165"/>
      <c r="K971" s="165"/>
      <c r="L971" s="165"/>
      <c r="M971" s="165"/>
    </row>
    <row r="972">
      <c r="I972" s="165"/>
      <c r="J972" s="165"/>
      <c r="K972" s="165"/>
      <c r="L972" s="165"/>
      <c r="M972" s="165"/>
    </row>
    <row r="973">
      <c r="I973" s="165"/>
      <c r="J973" s="165"/>
      <c r="K973" s="165"/>
      <c r="L973" s="165"/>
      <c r="M973" s="165"/>
    </row>
    <row r="974">
      <c r="I974" s="165"/>
      <c r="J974" s="165"/>
      <c r="K974" s="165"/>
      <c r="L974" s="165"/>
      <c r="M974" s="165"/>
    </row>
    <row r="975">
      <c r="I975" s="165"/>
      <c r="J975" s="165"/>
      <c r="K975" s="165"/>
      <c r="L975" s="165"/>
      <c r="M975" s="165"/>
    </row>
    <row r="976">
      <c r="I976" s="165"/>
      <c r="J976" s="165"/>
      <c r="K976" s="165"/>
      <c r="L976" s="165"/>
      <c r="M976" s="165"/>
    </row>
    <row r="977">
      <c r="I977" s="165"/>
      <c r="J977" s="165"/>
      <c r="K977" s="165"/>
      <c r="L977" s="165"/>
      <c r="M977" s="165"/>
    </row>
    <row r="978">
      <c r="I978" s="165"/>
      <c r="J978" s="165"/>
      <c r="K978" s="165"/>
      <c r="L978" s="165"/>
      <c r="M978" s="165"/>
    </row>
    <row r="979">
      <c r="I979" s="165"/>
      <c r="J979" s="165"/>
      <c r="K979" s="165"/>
      <c r="L979" s="165"/>
      <c r="M979" s="165"/>
    </row>
    <row r="980">
      <c r="I980" s="165"/>
      <c r="J980" s="165"/>
      <c r="K980" s="165"/>
      <c r="L980" s="165"/>
      <c r="M980" s="165"/>
    </row>
    <row r="981">
      <c r="I981" s="165"/>
      <c r="J981" s="165"/>
      <c r="K981" s="165"/>
      <c r="L981" s="165"/>
      <c r="M981" s="165"/>
    </row>
    <row r="982">
      <c r="I982" s="165"/>
      <c r="J982" s="165"/>
      <c r="K982" s="165"/>
      <c r="L982" s="165"/>
      <c r="M982" s="165"/>
    </row>
    <row r="983">
      <c r="I983" s="165"/>
      <c r="J983" s="165"/>
      <c r="K983" s="165"/>
      <c r="L983" s="165"/>
      <c r="M983" s="165"/>
    </row>
    <row r="984">
      <c r="I984" s="165"/>
      <c r="J984" s="165"/>
      <c r="K984" s="165"/>
      <c r="L984" s="165"/>
      <c r="M984" s="165"/>
    </row>
    <row r="985">
      <c r="I985" s="165"/>
      <c r="J985" s="165"/>
      <c r="K985" s="165"/>
      <c r="L985" s="165"/>
      <c r="M985" s="165"/>
    </row>
    <row r="986">
      <c r="I986" s="165"/>
      <c r="J986" s="165"/>
      <c r="K986" s="165"/>
      <c r="L986" s="165"/>
      <c r="M986" s="165"/>
    </row>
    <row r="987">
      <c r="I987" s="165"/>
      <c r="J987" s="165"/>
      <c r="K987" s="165"/>
      <c r="L987" s="165"/>
      <c r="M987" s="165"/>
    </row>
    <row r="988">
      <c r="I988" s="165"/>
      <c r="J988" s="165"/>
      <c r="K988" s="165"/>
      <c r="L988" s="165"/>
      <c r="M988" s="165"/>
    </row>
    <row r="989">
      <c r="I989" s="165"/>
      <c r="J989" s="165"/>
      <c r="K989" s="165"/>
      <c r="L989" s="165"/>
      <c r="M989" s="165"/>
    </row>
    <row r="990">
      <c r="I990" s="165"/>
      <c r="J990" s="165"/>
      <c r="K990" s="165"/>
      <c r="L990" s="165"/>
      <c r="M990" s="165"/>
    </row>
    <row r="991">
      <c r="I991" s="165"/>
      <c r="J991" s="165"/>
      <c r="K991" s="165"/>
      <c r="L991" s="165"/>
      <c r="M991" s="165"/>
    </row>
    <row r="992">
      <c r="I992" s="165"/>
      <c r="J992" s="165"/>
      <c r="K992" s="165"/>
      <c r="L992" s="165"/>
      <c r="M992" s="165"/>
    </row>
    <row r="993">
      <c r="I993" s="165"/>
      <c r="J993" s="165"/>
      <c r="K993" s="165"/>
      <c r="L993" s="165"/>
      <c r="M993" s="165"/>
    </row>
    <row r="994">
      <c r="I994" s="165"/>
      <c r="J994" s="165"/>
      <c r="K994" s="165"/>
      <c r="L994" s="165"/>
      <c r="M994" s="165"/>
    </row>
    <row r="995">
      <c r="I995" s="165"/>
      <c r="J995" s="165"/>
      <c r="K995" s="165"/>
      <c r="L995" s="165"/>
      <c r="M995" s="165"/>
    </row>
    <row r="996">
      <c r="I996" s="165"/>
      <c r="J996" s="165"/>
      <c r="K996" s="165"/>
      <c r="L996" s="165"/>
      <c r="M996" s="165"/>
    </row>
    <row r="997">
      <c r="I997" s="165"/>
      <c r="J997" s="165"/>
      <c r="K997" s="165"/>
      <c r="L997" s="165"/>
      <c r="M997" s="165"/>
    </row>
    <row r="998">
      <c r="I998" s="165"/>
      <c r="J998" s="165"/>
      <c r="K998" s="165"/>
      <c r="L998" s="165"/>
      <c r="M998" s="165"/>
    </row>
  </sheetData>
  <mergeCells count="2">
    <mergeCell ref="A1:E1"/>
    <mergeCell ref="A2:D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6.57"/>
    <col customWidth="1" min="3" max="3" width="27.14"/>
    <col customWidth="1" min="4" max="4" width="27.0"/>
    <col customWidth="1" min="5" max="5" width="25.71"/>
    <col customWidth="1" min="6" max="6" width="18.71"/>
    <col customWidth="1" min="7" max="7" width="16.14"/>
    <col customWidth="1" min="8" max="8" width="14.43"/>
    <col customWidth="1" min="9" max="9" width="15.0"/>
    <col customWidth="1" min="10" max="10" width="13.86"/>
  </cols>
  <sheetData>
    <row r="1" ht="37.5" customHeight="1">
      <c r="A1" s="1" t="s">
        <v>291</v>
      </c>
    </row>
    <row r="2" ht="23.25" customHeight="1">
      <c r="A2" s="167" t="s">
        <v>292</v>
      </c>
      <c r="B2" s="76"/>
      <c r="C2" s="5">
        <v>244601.0</v>
      </c>
      <c r="D2" s="133" t="s">
        <v>293</v>
      </c>
      <c r="E2" s="168">
        <v>244606.0</v>
      </c>
      <c r="F2" s="321"/>
      <c r="G2" s="3"/>
      <c r="H2" s="3"/>
      <c r="I2" s="3"/>
      <c r="J2" s="3"/>
    </row>
    <row r="3" ht="23.25" customHeight="1">
      <c r="A3" s="7"/>
      <c r="B3" s="7"/>
      <c r="L3" s="10"/>
    </row>
    <row r="4" ht="43.5" customHeight="1">
      <c r="A4" s="322" t="s">
        <v>294</v>
      </c>
      <c r="B4" s="171" t="s">
        <v>295</v>
      </c>
      <c r="C4" s="171" t="s">
        <v>224</v>
      </c>
      <c r="D4" s="171" t="s">
        <v>229</v>
      </c>
      <c r="E4" s="171" t="s">
        <v>230</v>
      </c>
      <c r="F4" s="323">
        <v>46274.0</v>
      </c>
      <c r="G4" s="323">
        <v>46275.0</v>
      </c>
      <c r="H4" s="323">
        <v>46276.0</v>
      </c>
      <c r="I4" s="323">
        <v>46277.0</v>
      </c>
      <c r="J4" s="323">
        <v>46278.0</v>
      </c>
      <c r="K4" s="324">
        <v>46279.0</v>
      </c>
    </row>
    <row r="5" ht="27.75" customHeight="1">
      <c r="A5" s="26" t="s">
        <v>25</v>
      </c>
      <c r="B5" s="28" t="s">
        <v>33</v>
      </c>
      <c r="C5" s="27">
        <v>609.0</v>
      </c>
      <c r="D5" s="5">
        <v>244604.0</v>
      </c>
      <c r="E5" s="5">
        <v>244605.0</v>
      </c>
      <c r="F5" s="85"/>
      <c r="G5" s="85"/>
      <c r="H5" s="85"/>
      <c r="I5" s="85"/>
      <c r="J5" s="325"/>
      <c r="K5" s="326"/>
    </row>
    <row r="6" ht="27.75" customHeight="1">
      <c r="A6" s="26" t="s">
        <v>25</v>
      </c>
      <c r="B6" s="27" t="s">
        <v>37</v>
      </c>
      <c r="C6" s="27">
        <v>709.0</v>
      </c>
      <c r="D6" s="5">
        <v>244603.0</v>
      </c>
      <c r="E6" s="5">
        <v>244605.0</v>
      </c>
      <c r="F6" s="85"/>
      <c r="G6" s="85"/>
      <c r="H6" s="85">
        <v>1.0</v>
      </c>
      <c r="I6" s="85"/>
      <c r="J6" s="325"/>
      <c r="K6" s="326"/>
    </row>
    <row r="7" ht="27.75" customHeight="1">
      <c r="A7" s="26" t="s">
        <v>25</v>
      </c>
      <c r="B7" s="27" t="s">
        <v>39</v>
      </c>
      <c r="C7" s="27">
        <v>710.0</v>
      </c>
      <c r="D7" s="5">
        <v>244603.0</v>
      </c>
      <c r="E7" s="5">
        <v>244604.0</v>
      </c>
      <c r="F7" s="85"/>
      <c r="G7" s="85"/>
      <c r="H7" s="85">
        <v>1.0</v>
      </c>
      <c r="I7" s="85"/>
      <c r="J7" s="325"/>
      <c r="K7" s="326"/>
    </row>
    <row r="8" ht="27.75" customHeight="1">
      <c r="A8" s="26" t="s">
        <v>25</v>
      </c>
      <c r="B8" s="27" t="s">
        <v>39</v>
      </c>
      <c r="C8" s="27">
        <v>712.0</v>
      </c>
      <c r="D8" s="5">
        <v>244603.0</v>
      </c>
      <c r="E8" s="5">
        <v>244604.0</v>
      </c>
      <c r="F8" s="85"/>
      <c r="G8" s="85"/>
      <c r="H8" s="85">
        <v>1.0</v>
      </c>
      <c r="I8" s="85"/>
      <c r="J8" s="325"/>
      <c r="K8" s="326"/>
    </row>
    <row r="9" ht="27.75" customHeight="1">
      <c r="A9" s="26" t="s">
        <v>25</v>
      </c>
      <c r="B9" s="27" t="s">
        <v>39</v>
      </c>
      <c r="C9" s="27">
        <v>713.0</v>
      </c>
      <c r="D9" s="5">
        <v>244603.0</v>
      </c>
      <c r="E9" s="5">
        <v>244604.0</v>
      </c>
      <c r="F9" s="85"/>
      <c r="G9" s="85"/>
      <c r="H9" s="85">
        <v>1.0</v>
      </c>
      <c r="I9" s="85"/>
      <c r="J9" s="325"/>
      <c r="K9" s="326"/>
    </row>
    <row r="10" ht="27.75" customHeight="1">
      <c r="A10" s="26" t="s">
        <v>25</v>
      </c>
      <c r="B10" s="27" t="s">
        <v>39</v>
      </c>
      <c r="C10" s="27">
        <v>714.0</v>
      </c>
      <c r="D10" s="5">
        <v>244603.0</v>
      </c>
      <c r="E10" s="5">
        <v>244604.0</v>
      </c>
      <c r="F10" s="85"/>
      <c r="G10" s="85"/>
      <c r="H10" s="85">
        <v>1.0</v>
      </c>
      <c r="I10" s="85"/>
      <c r="J10" s="325"/>
      <c r="K10" s="326"/>
    </row>
    <row r="11" ht="27.75" customHeight="1">
      <c r="A11" s="26" t="s">
        <v>25</v>
      </c>
      <c r="B11" s="27" t="s">
        <v>138</v>
      </c>
      <c r="C11" s="27">
        <v>909.0</v>
      </c>
      <c r="D11" s="5">
        <v>244602.0</v>
      </c>
      <c r="E11" s="5">
        <v>244605.0</v>
      </c>
      <c r="F11" s="85"/>
      <c r="G11" s="85">
        <v>1.0</v>
      </c>
      <c r="H11" s="85">
        <v>1.0</v>
      </c>
      <c r="I11" s="85"/>
      <c r="J11" s="325"/>
      <c r="K11" s="326"/>
    </row>
    <row r="12" ht="32.25" customHeight="1">
      <c r="A12" s="26" t="s">
        <v>25</v>
      </c>
      <c r="B12" s="27" t="s">
        <v>50</v>
      </c>
      <c r="C12" s="27">
        <v>609.0</v>
      </c>
      <c r="D12" s="5">
        <v>244602.0</v>
      </c>
      <c r="E12" s="5">
        <v>244605.0</v>
      </c>
      <c r="F12" s="85"/>
      <c r="G12" s="85">
        <v>1.0</v>
      </c>
      <c r="H12" s="85">
        <v>1.0</v>
      </c>
      <c r="I12" s="85"/>
      <c r="J12" s="325"/>
      <c r="K12" s="326"/>
    </row>
    <row r="13" ht="32.25" customHeight="1">
      <c r="A13" s="26" t="s">
        <v>25</v>
      </c>
      <c r="B13" s="27" t="s">
        <v>52</v>
      </c>
      <c r="C13" s="27" t="s">
        <v>267</v>
      </c>
      <c r="D13" s="5">
        <v>244604.0</v>
      </c>
      <c r="E13" s="5">
        <v>244605.0</v>
      </c>
      <c r="F13" s="85"/>
      <c r="G13" s="85"/>
      <c r="H13" s="85">
        <v>1.0</v>
      </c>
      <c r="I13" s="85"/>
      <c r="J13" s="325"/>
      <c r="K13" s="326"/>
    </row>
    <row r="14" ht="32.25" customHeight="1">
      <c r="A14" s="26" t="s">
        <v>25</v>
      </c>
      <c r="B14" s="27" t="s">
        <v>53</v>
      </c>
      <c r="C14" s="27" t="s">
        <v>267</v>
      </c>
      <c r="D14" s="327">
        <v>244605.0</v>
      </c>
      <c r="E14" s="327">
        <v>244606.0</v>
      </c>
      <c r="F14" s="85"/>
      <c r="G14" s="85"/>
      <c r="H14" s="85"/>
      <c r="I14" s="85">
        <v>1.0</v>
      </c>
      <c r="J14" s="85"/>
      <c r="K14" s="326"/>
    </row>
    <row r="15" ht="32.25" customHeight="1">
      <c r="A15" s="26" t="s">
        <v>25</v>
      </c>
      <c r="B15" s="27" t="s">
        <v>55</v>
      </c>
      <c r="C15" s="27" t="s">
        <v>267</v>
      </c>
      <c r="D15" s="187">
        <v>244606.0</v>
      </c>
      <c r="E15" s="187">
        <v>244607.0</v>
      </c>
      <c r="F15" s="85"/>
      <c r="G15" s="85"/>
      <c r="H15" s="85"/>
      <c r="I15" s="85">
        <v>1.0</v>
      </c>
      <c r="J15" s="85">
        <v>1.0</v>
      </c>
      <c r="K15" s="144"/>
    </row>
    <row r="16" ht="32.25" customHeight="1">
      <c r="A16" s="26" t="s">
        <v>25</v>
      </c>
      <c r="B16" s="27" t="s">
        <v>57</v>
      </c>
      <c r="C16" s="27" t="s">
        <v>267</v>
      </c>
      <c r="D16" s="187">
        <v>244606.0</v>
      </c>
      <c r="E16" s="187">
        <v>244607.0</v>
      </c>
      <c r="F16" s="85"/>
      <c r="G16" s="85"/>
      <c r="H16" s="85"/>
      <c r="I16" s="85">
        <v>2.0</v>
      </c>
      <c r="J16" s="85">
        <v>1.0</v>
      </c>
      <c r="K16" s="144"/>
    </row>
    <row r="17" ht="32.25" customHeight="1">
      <c r="A17" s="26" t="s">
        <v>25</v>
      </c>
      <c r="B17" s="27" t="s">
        <v>296</v>
      </c>
      <c r="C17" s="27" t="s">
        <v>267</v>
      </c>
      <c r="D17" s="5">
        <v>244604.0</v>
      </c>
      <c r="E17" s="327">
        <v>244606.0</v>
      </c>
      <c r="F17" s="85"/>
      <c r="G17" s="85"/>
      <c r="H17" s="85"/>
      <c r="I17" s="85">
        <v>1.0</v>
      </c>
      <c r="J17" s="85">
        <v>1.0</v>
      </c>
      <c r="K17" s="144"/>
    </row>
    <row r="18" ht="32.25" customHeight="1">
      <c r="A18" s="26" t="s">
        <v>25</v>
      </c>
      <c r="B18" s="27" t="s">
        <v>296</v>
      </c>
      <c r="C18" s="27" t="s">
        <v>267</v>
      </c>
      <c r="D18" s="5">
        <v>244604.0</v>
      </c>
      <c r="E18" s="187">
        <v>244607.0</v>
      </c>
      <c r="F18" s="85"/>
      <c r="G18" s="85"/>
      <c r="H18" s="85"/>
      <c r="I18" s="85">
        <v>1.0</v>
      </c>
      <c r="J18" s="325"/>
      <c r="K18" s="144">
        <v>1.0</v>
      </c>
    </row>
    <row r="19" ht="32.25" customHeight="1">
      <c r="A19" s="26" t="s">
        <v>25</v>
      </c>
      <c r="B19" s="27" t="s">
        <v>296</v>
      </c>
      <c r="C19" s="27" t="s">
        <v>267</v>
      </c>
      <c r="D19" s="5">
        <v>244604.0</v>
      </c>
      <c r="E19" s="187">
        <v>244607.0</v>
      </c>
      <c r="F19" s="85"/>
      <c r="G19" s="85"/>
      <c r="H19" s="85"/>
      <c r="I19" s="85">
        <v>1.0</v>
      </c>
      <c r="J19" s="325"/>
      <c r="K19" s="144">
        <v>1.0</v>
      </c>
    </row>
    <row r="20" ht="32.25" customHeight="1">
      <c r="A20" s="26" t="s">
        <v>25</v>
      </c>
      <c r="B20" s="27" t="s">
        <v>296</v>
      </c>
      <c r="C20" s="27" t="s">
        <v>267</v>
      </c>
      <c r="D20" s="5">
        <v>244604.0</v>
      </c>
      <c r="E20" s="5">
        <v>244605.0</v>
      </c>
      <c r="F20" s="85"/>
      <c r="G20" s="85"/>
      <c r="H20" s="85"/>
      <c r="I20" s="85">
        <v>1.0</v>
      </c>
      <c r="J20" s="325"/>
      <c r="K20" s="144"/>
    </row>
    <row r="21" ht="32.25" customHeight="1">
      <c r="A21" s="26" t="s">
        <v>25</v>
      </c>
      <c r="B21" s="27" t="s">
        <v>296</v>
      </c>
      <c r="C21" s="27" t="s">
        <v>267</v>
      </c>
      <c r="D21" s="327">
        <v>244606.0</v>
      </c>
      <c r="E21" s="187">
        <v>244607.0</v>
      </c>
      <c r="F21" s="328"/>
      <c r="G21" s="328"/>
      <c r="H21" s="328"/>
      <c r="I21" s="328"/>
      <c r="J21" s="329"/>
      <c r="K21" s="152">
        <v>1.0</v>
      </c>
    </row>
    <row r="22" ht="23.25" customHeight="1">
      <c r="A22" s="330" t="s">
        <v>297</v>
      </c>
      <c r="B22" s="330"/>
      <c r="C22" s="330"/>
      <c r="D22" s="331"/>
      <c r="E22" s="331"/>
      <c r="F22" s="332">
        <v>0.0</v>
      </c>
      <c r="G22" s="332">
        <v>2.0</v>
      </c>
      <c r="H22" s="332">
        <v>8.0</v>
      </c>
      <c r="I22" s="332">
        <v>8.0</v>
      </c>
      <c r="J22" s="332">
        <v>3.0</v>
      </c>
      <c r="K22" s="332">
        <v>3.0</v>
      </c>
    </row>
    <row r="23" ht="23.25" customHeight="1">
      <c r="A23" s="333" t="s">
        <v>298</v>
      </c>
      <c r="B23" s="334"/>
      <c r="C23" s="334"/>
      <c r="D23" s="334"/>
      <c r="E23" s="334"/>
      <c r="F23" s="333">
        <v>35.0</v>
      </c>
      <c r="G23" s="333">
        <v>35.0</v>
      </c>
      <c r="H23" s="333">
        <v>35.0</v>
      </c>
      <c r="I23" s="333">
        <v>35.0</v>
      </c>
      <c r="J23" s="333">
        <v>35.0</v>
      </c>
      <c r="K23" s="333">
        <v>35.0</v>
      </c>
    </row>
    <row r="24" ht="23.25" customHeight="1">
      <c r="A24" s="335" t="s">
        <v>299</v>
      </c>
      <c r="B24" s="336"/>
      <c r="C24" s="336"/>
      <c r="D24" s="336"/>
      <c r="E24" s="336"/>
      <c r="F24" s="335">
        <v>35.0</v>
      </c>
      <c r="G24" s="335">
        <v>33.0</v>
      </c>
      <c r="H24" s="335">
        <v>27.0</v>
      </c>
      <c r="I24" s="332">
        <v>27.0</v>
      </c>
      <c r="J24" s="332">
        <v>32.0</v>
      </c>
      <c r="K24" s="332">
        <v>32.0</v>
      </c>
    </row>
    <row r="25" ht="23.25" customHeight="1">
      <c r="A25" s="44"/>
      <c r="B25" s="44"/>
      <c r="C25" s="44"/>
    </row>
    <row r="26" ht="23.25" customHeight="1">
      <c r="A26" s="44"/>
      <c r="B26" s="44"/>
      <c r="C26" s="44"/>
    </row>
    <row r="27" ht="23.25" customHeight="1">
      <c r="A27" s="44"/>
      <c r="B27" s="44"/>
      <c r="C27" s="44"/>
    </row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</sheetData>
  <mergeCells count="3">
    <mergeCell ref="A1:D1"/>
    <mergeCell ref="A2:B2"/>
    <mergeCell ref="B3:J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8.71"/>
    <col customWidth="1" min="3" max="3" width="42.57"/>
    <col customWidth="1" min="4" max="5" width="30.43"/>
    <col customWidth="1" min="6" max="11" width="35.29"/>
  </cols>
  <sheetData>
    <row r="1" ht="37.5" customHeight="1">
      <c r="A1" s="1" t="s">
        <v>300</v>
      </c>
      <c r="B1" s="3"/>
    </row>
    <row r="2" ht="33.75" customHeight="1">
      <c r="A2" s="2" t="s">
        <v>301</v>
      </c>
      <c r="B2" s="6" t="s">
        <v>302</v>
      </c>
      <c r="C2" s="3"/>
      <c r="D2" s="3"/>
      <c r="E2" s="3"/>
      <c r="F2" s="337"/>
      <c r="G2" s="337"/>
      <c r="H2" s="337"/>
      <c r="I2" s="337"/>
      <c r="J2" s="337"/>
      <c r="K2" s="337"/>
    </row>
    <row r="3" ht="33.75" customHeight="1">
      <c r="A3" s="2" t="s">
        <v>303</v>
      </c>
      <c r="B3" s="6" t="s">
        <v>304</v>
      </c>
      <c r="C3" s="3"/>
      <c r="D3" s="3"/>
      <c r="E3" s="3"/>
      <c r="F3" s="3"/>
      <c r="G3" s="3"/>
      <c r="H3" s="3"/>
      <c r="I3" s="3"/>
      <c r="J3" s="3"/>
      <c r="K3" s="3"/>
    </row>
    <row r="4" ht="23.25" customHeight="1">
      <c r="A4" s="8" t="s">
        <v>305</v>
      </c>
      <c r="B4" s="338" t="s">
        <v>306</v>
      </c>
      <c r="C4" s="3"/>
      <c r="D4" s="3"/>
      <c r="E4" s="3"/>
      <c r="F4" s="3"/>
      <c r="G4" s="3"/>
      <c r="H4" s="3"/>
      <c r="I4" s="3"/>
      <c r="J4" s="3"/>
      <c r="K4" s="3"/>
      <c r="N4" s="10"/>
    </row>
    <row r="5" ht="23.25" customHeight="1">
      <c r="A5" s="8"/>
      <c r="B5" s="9"/>
      <c r="C5" s="3"/>
      <c r="D5" s="3"/>
      <c r="E5" s="3"/>
      <c r="F5" s="3"/>
      <c r="G5" s="3"/>
      <c r="H5" s="3"/>
      <c r="I5" s="3"/>
      <c r="J5" s="3"/>
      <c r="K5" s="3"/>
      <c r="N5" s="10"/>
    </row>
    <row r="6" ht="37.5" customHeight="1">
      <c r="A6" s="339" t="s">
        <v>307</v>
      </c>
      <c r="B6" s="340" t="s">
        <v>304</v>
      </c>
      <c r="C6" s="340" t="s">
        <v>308</v>
      </c>
      <c r="D6" s="340" t="s">
        <v>309</v>
      </c>
      <c r="E6" s="341" t="s">
        <v>310</v>
      </c>
      <c r="F6" s="341" t="s">
        <v>311</v>
      </c>
      <c r="G6" s="341" t="s">
        <v>312</v>
      </c>
      <c r="H6" s="341" t="s">
        <v>313</v>
      </c>
      <c r="I6" s="342" t="s">
        <v>314</v>
      </c>
      <c r="J6" s="342" t="s">
        <v>315</v>
      </c>
      <c r="K6" s="342" t="s">
        <v>316</v>
      </c>
    </row>
    <row r="7" ht="35.25" customHeight="1">
      <c r="A7" s="26" t="s">
        <v>317</v>
      </c>
      <c r="B7" s="343" t="s">
        <v>318</v>
      </c>
      <c r="C7" s="27" t="s">
        <v>319</v>
      </c>
      <c r="D7" s="27" t="s">
        <v>320</v>
      </c>
      <c r="E7" s="26">
        <v>300.0</v>
      </c>
      <c r="F7" s="27"/>
      <c r="G7" s="27"/>
      <c r="H7" s="35"/>
      <c r="I7" s="27"/>
      <c r="J7" s="27"/>
      <c r="K7" s="27" t="s">
        <v>321</v>
      </c>
    </row>
    <row r="8" ht="35.25" customHeight="1">
      <c r="A8" s="344" t="s">
        <v>317</v>
      </c>
      <c r="B8" s="345" t="s">
        <v>318</v>
      </c>
      <c r="C8" s="89" t="s">
        <v>322</v>
      </c>
      <c r="D8" s="89" t="s">
        <v>323</v>
      </c>
      <c r="E8" s="89">
        <v>500.0</v>
      </c>
      <c r="F8" s="89"/>
      <c r="G8" s="89"/>
      <c r="H8" s="143"/>
      <c r="I8" s="89"/>
      <c r="J8" s="89"/>
      <c r="K8" s="89" t="s">
        <v>324</v>
      </c>
    </row>
    <row r="9" ht="35.25" customHeight="1">
      <c r="A9" s="26" t="s">
        <v>317</v>
      </c>
      <c r="B9" s="27" t="s">
        <v>325</v>
      </c>
      <c r="C9" s="27" t="s">
        <v>326</v>
      </c>
      <c r="D9" s="27" t="s">
        <v>327</v>
      </c>
      <c r="E9" s="27">
        <v>300.0</v>
      </c>
      <c r="F9" s="27"/>
      <c r="G9" s="27"/>
      <c r="H9" s="35"/>
      <c r="I9" s="27"/>
      <c r="J9" s="27"/>
      <c r="K9" s="27"/>
    </row>
    <row r="10" ht="35.25" customHeight="1">
      <c r="A10" s="344" t="s">
        <v>317</v>
      </c>
      <c r="B10" s="89" t="s">
        <v>325</v>
      </c>
      <c r="C10" s="89" t="s">
        <v>328</v>
      </c>
      <c r="D10" s="89" t="s">
        <v>327</v>
      </c>
      <c r="E10" s="89">
        <v>300.0</v>
      </c>
      <c r="F10" s="89"/>
      <c r="G10" s="89"/>
      <c r="H10" s="143"/>
      <c r="I10" s="89"/>
      <c r="J10" s="89"/>
      <c r="K10" s="89"/>
    </row>
    <row r="11" ht="35.25" customHeight="1">
      <c r="A11" s="26" t="s">
        <v>317</v>
      </c>
      <c r="B11" s="27" t="s">
        <v>325</v>
      </c>
      <c r="C11" s="27" t="s">
        <v>329</v>
      </c>
      <c r="D11" s="27" t="s">
        <v>323</v>
      </c>
      <c r="E11" s="27">
        <v>360.0</v>
      </c>
      <c r="F11" s="27"/>
      <c r="G11" s="27"/>
      <c r="H11" s="35"/>
      <c r="I11" s="27"/>
      <c r="J11" s="27"/>
      <c r="K11" s="27"/>
    </row>
    <row r="12" ht="36.75" customHeight="1">
      <c r="A12" s="344" t="s">
        <v>317</v>
      </c>
      <c r="B12" s="89" t="s">
        <v>325</v>
      </c>
      <c r="C12" s="89" t="s">
        <v>330</v>
      </c>
      <c r="D12" s="89" t="s">
        <v>323</v>
      </c>
      <c r="E12" s="89">
        <v>400.0</v>
      </c>
      <c r="F12" s="89"/>
      <c r="G12" s="89"/>
      <c r="H12" s="143"/>
      <c r="I12" s="89"/>
      <c r="J12" s="89"/>
      <c r="K12" s="89"/>
    </row>
    <row r="13" ht="36.75" customHeight="1">
      <c r="A13" s="26" t="s">
        <v>317</v>
      </c>
      <c r="B13" s="27" t="s">
        <v>325</v>
      </c>
      <c r="C13" s="27" t="s">
        <v>331</v>
      </c>
      <c r="D13" s="27" t="s">
        <v>323</v>
      </c>
      <c r="E13" s="27">
        <v>400.0</v>
      </c>
      <c r="F13" s="27"/>
      <c r="G13" s="27"/>
      <c r="H13" s="35"/>
      <c r="I13" s="27"/>
      <c r="J13" s="27"/>
      <c r="K13" s="27"/>
    </row>
    <row r="14" ht="36.75" customHeight="1">
      <c r="A14" s="346" t="s">
        <v>317</v>
      </c>
      <c r="B14" s="102" t="s">
        <v>325</v>
      </c>
      <c r="C14" s="102" t="s">
        <v>332</v>
      </c>
      <c r="D14" s="102" t="s">
        <v>323</v>
      </c>
      <c r="E14" s="102">
        <v>360.0</v>
      </c>
      <c r="F14" s="102"/>
      <c r="G14" s="102"/>
      <c r="H14" s="154"/>
      <c r="I14" s="89"/>
      <c r="J14" s="89"/>
      <c r="K14" s="89"/>
    </row>
    <row r="15" ht="31.5" customHeight="1">
      <c r="A15" s="347" t="s">
        <v>333</v>
      </c>
      <c r="B15" s="330"/>
      <c r="C15" s="330"/>
      <c r="D15" s="331"/>
      <c r="E15" s="331"/>
      <c r="F15" s="347">
        <v>0.0</v>
      </c>
      <c r="G15" s="347">
        <v>0.0</v>
      </c>
      <c r="H15" s="347">
        <v>0.0</v>
      </c>
      <c r="I15" s="347"/>
      <c r="J15" s="347"/>
      <c r="K15" s="347"/>
    </row>
    <row r="16" ht="31.5" customHeight="1">
      <c r="A16" s="112"/>
      <c r="B16" s="112"/>
      <c r="D16" s="112"/>
      <c r="E16" s="112"/>
    </row>
    <row r="17" ht="31.5" customHeight="1"/>
    <row r="18" ht="31.5" customHeight="1"/>
    <row r="19" ht="31.5" customHeight="1"/>
    <row r="20" ht="31.5" customHeight="1"/>
    <row r="21" ht="31.5" customHeight="1"/>
    <row r="22" ht="23.25" customHeight="1">
      <c r="E22" s="4" t="s">
        <v>334</v>
      </c>
    </row>
    <row r="23" ht="23.25" customHeight="1"/>
    <row r="24" ht="23.25" customHeight="1"/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7.14"/>
    <col customWidth="1" min="3" max="3" width="26.71"/>
    <col customWidth="1" min="4" max="4" width="34.29"/>
    <col customWidth="1" min="5" max="5" width="26.43"/>
    <col customWidth="1" min="6" max="6" width="35.29"/>
  </cols>
  <sheetData>
    <row r="1" ht="37.5" customHeight="1">
      <c r="A1" s="1" t="s">
        <v>335</v>
      </c>
      <c r="B1" s="3"/>
    </row>
    <row r="2" ht="33.75" customHeight="1">
      <c r="A2" s="2" t="s">
        <v>301</v>
      </c>
      <c r="B2" s="6" t="s">
        <v>302</v>
      </c>
      <c r="C2" s="3"/>
      <c r="D2" s="3"/>
      <c r="E2" s="3"/>
      <c r="F2" s="3"/>
    </row>
    <row r="3" ht="33.75" customHeight="1">
      <c r="A3" s="2" t="s">
        <v>336</v>
      </c>
      <c r="B3" s="6" t="s">
        <v>5</v>
      </c>
      <c r="C3" s="3"/>
      <c r="D3" s="3"/>
      <c r="E3" s="3"/>
      <c r="F3" s="3"/>
    </row>
    <row r="4" ht="23.25" customHeight="1">
      <c r="A4" s="8"/>
      <c r="B4" s="9"/>
      <c r="C4" s="3"/>
      <c r="D4" s="3"/>
      <c r="E4" s="3"/>
      <c r="F4" s="3"/>
      <c r="I4" s="10"/>
    </row>
    <row r="5" ht="37.5" customHeight="1">
      <c r="A5" s="339" t="s">
        <v>337</v>
      </c>
      <c r="B5" s="340" t="s">
        <v>338</v>
      </c>
      <c r="C5" s="340" t="s">
        <v>339</v>
      </c>
      <c r="D5" s="340" t="s">
        <v>340</v>
      </c>
      <c r="E5" s="340" t="s">
        <v>341</v>
      </c>
      <c r="F5" s="341" t="s">
        <v>342</v>
      </c>
    </row>
    <row r="6" ht="35.25" customHeight="1">
      <c r="A6" s="140">
        <v>25461.0</v>
      </c>
      <c r="B6" s="343">
        <v>501.0</v>
      </c>
      <c r="C6" s="27" t="s">
        <v>343</v>
      </c>
      <c r="D6" s="27" t="s">
        <v>344</v>
      </c>
      <c r="E6" s="140">
        <v>25463.0</v>
      </c>
      <c r="F6" s="35">
        <v>1.0</v>
      </c>
    </row>
    <row r="7" ht="35.25" customHeight="1">
      <c r="A7" s="146">
        <v>25461.0</v>
      </c>
      <c r="B7" s="345">
        <v>509.0</v>
      </c>
      <c r="C7" s="89" t="s">
        <v>345</v>
      </c>
      <c r="D7" s="89" t="s">
        <v>346</v>
      </c>
      <c r="E7" s="87">
        <v>25461.0</v>
      </c>
      <c r="F7" s="143">
        <v>1.0</v>
      </c>
    </row>
    <row r="8" ht="35.25" customHeight="1">
      <c r="A8" s="140">
        <v>25461.0</v>
      </c>
      <c r="B8" s="27">
        <v>802.0</v>
      </c>
      <c r="C8" s="27" t="s">
        <v>347</v>
      </c>
      <c r="D8" s="27" t="s">
        <v>348</v>
      </c>
      <c r="E8" s="83">
        <v>25468.0</v>
      </c>
      <c r="F8" s="35">
        <v>8.0</v>
      </c>
    </row>
    <row r="9" ht="35.25" customHeight="1">
      <c r="A9" s="146">
        <v>25462.0</v>
      </c>
      <c r="B9" s="89">
        <v>910.0</v>
      </c>
      <c r="C9" s="89" t="s">
        <v>347</v>
      </c>
      <c r="D9" s="89" t="s">
        <v>349</v>
      </c>
      <c r="E9" s="87">
        <v>25462.0</v>
      </c>
      <c r="F9" s="143">
        <v>1.0</v>
      </c>
    </row>
    <row r="10" ht="35.25" customHeight="1">
      <c r="A10" s="140">
        <v>25462.0</v>
      </c>
      <c r="B10" s="27">
        <v>912.0</v>
      </c>
      <c r="C10" s="27" t="s">
        <v>343</v>
      </c>
      <c r="D10" s="27" t="s">
        <v>350</v>
      </c>
      <c r="E10" s="83">
        <v>25462.0</v>
      </c>
      <c r="F10" s="35">
        <v>1.0</v>
      </c>
    </row>
    <row r="11" ht="36.75" customHeight="1">
      <c r="A11" s="146">
        <v>25463.0</v>
      </c>
      <c r="B11" s="89">
        <v>913.0</v>
      </c>
      <c r="C11" s="89" t="s">
        <v>345</v>
      </c>
      <c r="D11" s="89" t="s">
        <v>351</v>
      </c>
      <c r="E11" s="87">
        <v>25463.0</v>
      </c>
      <c r="F11" s="143">
        <v>1.0</v>
      </c>
    </row>
    <row r="12" ht="36.75" customHeight="1">
      <c r="A12" s="140">
        <v>25463.0</v>
      </c>
      <c r="B12" s="27">
        <v>914.0</v>
      </c>
      <c r="C12" s="27" t="s">
        <v>345</v>
      </c>
      <c r="D12" s="27" t="s">
        <v>352</v>
      </c>
      <c r="E12" s="83">
        <v>25463.0</v>
      </c>
      <c r="F12" s="35">
        <v>1.0</v>
      </c>
    </row>
    <row r="13" ht="36.75" customHeight="1">
      <c r="A13" s="174">
        <v>25463.0</v>
      </c>
      <c r="B13" s="102">
        <v>915.0</v>
      </c>
      <c r="C13" s="102" t="s">
        <v>347</v>
      </c>
      <c r="D13" s="102" t="s">
        <v>353</v>
      </c>
      <c r="E13" s="100">
        <v>25468.0</v>
      </c>
      <c r="F13" s="154">
        <v>6.0</v>
      </c>
    </row>
    <row r="14" ht="31.5" customHeight="1"/>
    <row r="15" ht="31.5" customHeight="1">
      <c r="A15" s="112" t="s">
        <v>164</v>
      </c>
      <c r="B15" s="114">
        <v>8.0</v>
      </c>
      <c r="D15" s="112"/>
      <c r="E15" s="112"/>
    </row>
    <row r="16" ht="31.5" customHeight="1"/>
    <row r="17" ht="31.5" customHeight="1"/>
    <row r="18" ht="31.5" customHeight="1"/>
    <row r="19" ht="31.5" customHeight="1"/>
    <row r="20" ht="31.5" customHeight="1"/>
    <row r="21" ht="23.25" customHeight="1"/>
    <row r="22" ht="23.25" customHeight="1"/>
    <row r="23" ht="23.25" customHeight="1"/>
    <row r="24" ht="23.25" customHeight="1"/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4.43"/>
    <col customWidth="1" min="3" max="3" width="44.57"/>
    <col customWidth="1" min="4" max="4" width="19.86"/>
    <col customWidth="1" min="5" max="5" width="20.29"/>
    <col customWidth="1" min="6" max="6" width="22.14"/>
    <col customWidth="1" min="7" max="7" width="18.86"/>
  </cols>
  <sheetData>
    <row r="1" ht="37.5" customHeight="1">
      <c r="A1" s="1" t="s">
        <v>354</v>
      </c>
      <c r="B1" s="3"/>
    </row>
    <row r="2" ht="33.75" customHeight="1">
      <c r="A2" s="2" t="s">
        <v>301</v>
      </c>
      <c r="B2" s="6" t="s">
        <v>302</v>
      </c>
      <c r="C2" s="3"/>
      <c r="D2" s="3"/>
      <c r="E2" s="3"/>
      <c r="F2" s="3"/>
    </row>
    <row r="3" ht="33.75" customHeight="1">
      <c r="A3" s="2" t="s">
        <v>336</v>
      </c>
      <c r="B3" s="6" t="s">
        <v>5</v>
      </c>
      <c r="C3" s="3"/>
      <c r="D3" s="3"/>
      <c r="E3" s="3"/>
      <c r="F3" s="3"/>
    </row>
    <row r="4" ht="23.25" customHeight="1">
      <c r="A4" s="8"/>
      <c r="B4" s="9"/>
      <c r="C4" s="3"/>
      <c r="D4" s="3"/>
      <c r="E4" s="3"/>
      <c r="F4" s="3"/>
      <c r="I4" s="10"/>
    </row>
    <row r="5" ht="37.5" customHeight="1">
      <c r="A5" s="339" t="s">
        <v>355</v>
      </c>
      <c r="B5" s="340" t="s">
        <v>356</v>
      </c>
      <c r="C5" s="340" t="s">
        <v>336</v>
      </c>
      <c r="D5" s="340" t="s">
        <v>357</v>
      </c>
      <c r="E5" s="340" t="s">
        <v>358</v>
      </c>
      <c r="F5" s="340" t="s">
        <v>209</v>
      </c>
      <c r="G5" s="341" t="s">
        <v>6</v>
      </c>
    </row>
    <row r="6" ht="35.25" customHeight="1">
      <c r="A6" s="140">
        <v>25461.0</v>
      </c>
      <c r="B6" s="343" t="s">
        <v>317</v>
      </c>
      <c r="C6" s="348" t="s">
        <v>359</v>
      </c>
      <c r="D6" s="27">
        <v>1.0</v>
      </c>
      <c r="E6" s="27" t="s">
        <v>360</v>
      </c>
      <c r="F6" s="27">
        <v>100.0</v>
      </c>
      <c r="G6" s="35" t="s">
        <v>25</v>
      </c>
    </row>
    <row r="7" ht="35.25" customHeight="1">
      <c r="A7" s="146">
        <v>25461.0</v>
      </c>
      <c r="B7" s="89" t="s">
        <v>317</v>
      </c>
      <c r="C7" s="166" t="s">
        <v>361</v>
      </c>
      <c r="D7" s="89">
        <v>1.0</v>
      </c>
      <c r="E7" s="89" t="s">
        <v>327</v>
      </c>
      <c r="F7" s="89">
        <v>250.0</v>
      </c>
      <c r="G7" s="143" t="s">
        <v>25</v>
      </c>
    </row>
    <row r="8" ht="35.25" customHeight="1">
      <c r="A8" s="140">
        <v>25461.0</v>
      </c>
      <c r="B8" s="27" t="s">
        <v>317</v>
      </c>
      <c r="C8" s="164" t="s">
        <v>362</v>
      </c>
      <c r="D8" s="27">
        <v>2.0</v>
      </c>
      <c r="E8" s="27" t="s">
        <v>363</v>
      </c>
      <c r="F8" s="27">
        <v>500.0</v>
      </c>
      <c r="G8" s="35" t="s">
        <v>25</v>
      </c>
    </row>
    <row r="9" ht="35.25" customHeight="1">
      <c r="A9" s="146">
        <v>25462.0</v>
      </c>
      <c r="B9" s="89" t="s">
        <v>317</v>
      </c>
      <c r="C9" s="166" t="s">
        <v>364</v>
      </c>
      <c r="D9" s="89">
        <v>1.0</v>
      </c>
      <c r="E9" s="89" t="s">
        <v>323</v>
      </c>
      <c r="F9" s="89">
        <v>200.0</v>
      </c>
      <c r="G9" s="143" t="s">
        <v>25</v>
      </c>
    </row>
    <row r="10" ht="35.25" customHeight="1">
      <c r="A10" s="140">
        <v>25462.0</v>
      </c>
      <c r="B10" s="27" t="s">
        <v>317</v>
      </c>
      <c r="C10" s="164" t="s">
        <v>365</v>
      </c>
      <c r="D10" s="27">
        <v>2.0</v>
      </c>
      <c r="E10" s="27" t="s">
        <v>366</v>
      </c>
      <c r="F10" s="27">
        <v>100.0</v>
      </c>
      <c r="G10" s="35" t="s">
        <v>25</v>
      </c>
    </row>
    <row r="11" ht="36.75" customHeight="1">
      <c r="A11" s="146">
        <v>25463.0</v>
      </c>
      <c r="B11" s="89" t="s">
        <v>317</v>
      </c>
      <c r="C11" s="166" t="s">
        <v>361</v>
      </c>
      <c r="D11" s="89">
        <v>1.0</v>
      </c>
      <c r="E11" s="89" t="s">
        <v>327</v>
      </c>
      <c r="F11" s="89">
        <v>250.0</v>
      </c>
      <c r="G11" s="143" t="s">
        <v>25</v>
      </c>
    </row>
    <row r="12" ht="36.75" customHeight="1">
      <c r="A12" s="140">
        <v>25463.0</v>
      </c>
      <c r="B12" s="27" t="s">
        <v>317</v>
      </c>
      <c r="C12" s="164" t="s">
        <v>361</v>
      </c>
      <c r="D12" s="27">
        <v>1.0</v>
      </c>
      <c r="E12" s="27" t="s">
        <v>327</v>
      </c>
      <c r="F12" s="27">
        <v>250.0</v>
      </c>
      <c r="G12" s="35" t="s">
        <v>25</v>
      </c>
    </row>
    <row r="13" ht="36.75" customHeight="1">
      <c r="A13" s="174">
        <v>25463.0</v>
      </c>
      <c r="B13" s="102" t="s">
        <v>317</v>
      </c>
      <c r="C13" s="176" t="s">
        <v>365</v>
      </c>
      <c r="D13" s="102">
        <v>1.0</v>
      </c>
      <c r="E13" s="102" t="s">
        <v>366</v>
      </c>
      <c r="F13" s="102">
        <v>100.0</v>
      </c>
      <c r="G13" s="154" t="s">
        <v>25</v>
      </c>
    </row>
    <row r="14" ht="31.5" customHeight="1"/>
    <row r="15" ht="31.5" customHeight="1">
      <c r="A15" s="112" t="s">
        <v>164</v>
      </c>
      <c r="B15" s="114">
        <v>8.0</v>
      </c>
      <c r="E15" s="112" t="s">
        <v>168</v>
      </c>
      <c r="F15" s="114">
        <f>sum(F6:F13)</f>
        <v>1750</v>
      </c>
    </row>
    <row r="16" ht="31.5" customHeight="1"/>
    <row r="17" ht="31.5" customHeight="1"/>
    <row r="18" ht="31.5" customHeight="1"/>
    <row r="19" ht="31.5" customHeight="1"/>
    <row r="20" ht="31.5" customHeight="1"/>
    <row r="21" ht="23.25" customHeight="1"/>
    <row r="22" ht="23.25" customHeight="1"/>
    <row r="23" ht="23.25" customHeight="1"/>
    <row r="24" ht="23.25" customHeight="1"/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24.86"/>
    <col customWidth="1" min="3" max="3" width="44.0"/>
    <col customWidth="1" min="4" max="4" width="40.43"/>
    <col customWidth="1" min="5" max="5" width="36.71"/>
    <col customWidth="1" min="6" max="6" width="40.57"/>
    <col customWidth="1" min="7" max="7" width="53.57"/>
    <col customWidth="1" min="8" max="8" width="22.0"/>
    <col customWidth="1" min="9" max="9" width="19.86"/>
    <col customWidth="1" min="10" max="10" width="21.86"/>
    <col customWidth="1" min="11" max="11" width="22.14"/>
  </cols>
  <sheetData>
    <row r="1" ht="37.5" customHeight="1">
      <c r="A1" s="1" t="s">
        <v>367</v>
      </c>
    </row>
    <row r="2" ht="27.0" customHeight="1">
      <c r="A2" s="75" t="s">
        <v>111</v>
      </c>
      <c r="B2" s="76"/>
      <c r="C2" s="79">
        <v>244601.0</v>
      </c>
      <c r="D2" s="76"/>
      <c r="F2" s="3"/>
      <c r="G2" s="3"/>
      <c r="H2" s="3"/>
      <c r="I2" s="3"/>
      <c r="J2" s="3"/>
      <c r="K2" s="3"/>
    </row>
    <row r="3" ht="23.25" customHeight="1">
      <c r="A3" s="75" t="s">
        <v>368</v>
      </c>
      <c r="B3" s="76"/>
      <c r="C3" s="7"/>
      <c r="D3" s="7"/>
      <c r="E3" s="7"/>
      <c r="F3" s="7"/>
      <c r="G3" s="7"/>
      <c r="H3" s="7"/>
      <c r="I3" s="7"/>
      <c r="J3" s="7"/>
      <c r="K3" s="7"/>
      <c r="M3" s="10"/>
    </row>
    <row r="4" ht="39.0" customHeight="1">
      <c r="A4" s="7" t="s">
        <v>369</v>
      </c>
      <c r="C4" s="7" t="s">
        <v>370</v>
      </c>
      <c r="D4" s="7"/>
      <c r="E4" s="7" t="s">
        <v>371</v>
      </c>
      <c r="F4" s="7"/>
      <c r="G4" s="7"/>
      <c r="H4" s="7"/>
      <c r="I4" s="7"/>
      <c r="J4" s="7"/>
      <c r="K4" s="7"/>
      <c r="M4" s="10"/>
    </row>
    <row r="5" ht="23.25" customHeight="1">
      <c r="A5" s="349" t="s">
        <v>372</v>
      </c>
      <c r="B5" s="7"/>
      <c r="C5" s="7"/>
      <c r="D5" s="7"/>
      <c r="E5" s="7"/>
      <c r="F5" s="7"/>
      <c r="G5" s="7"/>
      <c r="H5" s="7"/>
      <c r="I5" s="7"/>
      <c r="J5" s="7"/>
      <c r="K5" s="7"/>
      <c r="M5" s="10"/>
    </row>
    <row r="6" ht="23.25" customHeight="1">
      <c r="A6" s="7"/>
      <c r="B6" s="7"/>
      <c r="M6" s="10"/>
    </row>
    <row r="7" ht="43.5" customHeight="1">
      <c r="A7" s="350"/>
      <c r="B7" s="350" t="s">
        <v>373</v>
      </c>
      <c r="C7" s="350" t="s">
        <v>374</v>
      </c>
      <c r="D7" s="350" t="s">
        <v>375</v>
      </c>
      <c r="E7" s="350" t="s">
        <v>376</v>
      </c>
      <c r="F7" s="350" t="s">
        <v>377</v>
      </c>
      <c r="G7" s="350" t="s">
        <v>378</v>
      </c>
      <c r="H7" s="173"/>
      <c r="I7" s="173"/>
      <c r="J7" s="173"/>
      <c r="K7" s="173"/>
    </row>
    <row r="8" ht="33.75" customHeight="1">
      <c r="A8" s="38" t="s">
        <v>379</v>
      </c>
      <c r="B8" s="351"/>
      <c r="C8" s="38"/>
      <c r="D8" s="38"/>
      <c r="E8" s="352"/>
      <c r="F8" s="39"/>
      <c r="G8" s="353"/>
      <c r="H8" s="183"/>
      <c r="I8" s="183"/>
      <c r="J8" s="182"/>
      <c r="K8" s="354"/>
    </row>
    <row r="9" ht="33.75" customHeight="1">
      <c r="A9" s="89" t="s">
        <v>380</v>
      </c>
      <c r="B9" s="88"/>
      <c r="C9" s="89"/>
      <c r="D9" s="89"/>
      <c r="E9" s="89"/>
      <c r="F9" s="355"/>
      <c r="G9" s="356"/>
      <c r="H9" s="183"/>
      <c r="I9" s="183"/>
      <c r="J9" s="182"/>
      <c r="K9" s="354"/>
    </row>
    <row r="10" ht="33.75" customHeight="1">
      <c r="A10" s="27" t="s">
        <v>381</v>
      </c>
      <c r="B10" s="84"/>
      <c r="C10" s="27"/>
      <c r="D10" s="27"/>
      <c r="E10" s="27"/>
      <c r="F10" s="5"/>
      <c r="G10" s="79"/>
      <c r="H10" s="183"/>
      <c r="I10" s="183"/>
      <c r="J10" s="182"/>
      <c r="K10" s="354"/>
    </row>
    <row r="11" ht="33.75" customHeight="1">
      <c r="A11" s="89" t="s">
        <v>382</v>
      </c>
      <c r="B11" s="88"/>
      <c r="C11" s="89"/>
      <c r="D11" s="89"/>
      <c r="E11" s="89"/>
      <c r="F11" s="90"/>
      <c r="G11" s="357"/>
      <c r="H11" s="183"/>
      <c r="I11" s="183"/>
      <c r="J11" s="182"/>
      <c r="K11" s="354"/>
    </row>
    <row r="12" ht="33.75" customHeight="1">
      <c r="A12" s="27" t="s">
        <v>383</v>
      </c>
      <c r="B12" s="84"/>
      <c r="C12" s="27"/>
      <c r="D12" s="27"/>
      <c r="E12" s="27"/>
      <c r="F12" s="5"/>
      <c r="G12" s="79"/>
      <c r="H12" s="183"/>
      <c r="I12" s="183"/>
      <c r="J12" s="182"/>
      <c r="K12" s="354"/>
    </row>
    <row r="13" ht="33.75" customHeight="1">
      <c r="A13" s="89" t="s">
        <v>384</v>
      </c>
      <c r="B13" s="88"/>
      <c r="C13" s="89"/>
      <c r="D13" s="89"/>
      <c r="E13" s="89"/>
      <c r="F13" s="90"/>
      <c r="G13" s="357"/>
      <c r="H13" s="183"/>
      <c r="I13" s="183"/>
      <c r="J13" s="182"/>
      <c r="K13" s="354"/>
    </row>
    <row r="14" ht="33.75" customHeight="1">
      <c r="A14" s="27" t="s">
        <v>385</v>
      </c>
      <c r="B14" s="84"/>
      <c r="C14" s="27"/>
      <c r="D14" s="27"/>
      <c r="E14" s="27"/>
      <c r="F14" s="5"/>
      <c r="G14" s="79"/>
      <c r="H14" s="183"/>
      <c r="I14" s="183"/>
      <c r="J14" s="182"/>
      <c r="K14" s="354"/>
    </row>
    <row r="15" ht="33.75" customHeight="1">
      <c r="A15" s="89" t="s">
        <v>386</v>
      </c>
      <c r="B15" s="88"/>
      <c r="C15" s="89"/>
      <c r="D15" s="89"/>
      <c r="E15" s="89"/>
      <c r="F15" s="90"/>
      <c r="G15" s="357"/>
      <c r="H15" s="183"/>
      <c r="I15" s="183"/>
      <c r="J15" s="182"/>
      <c r="K15" s="354"/>
    </row>
    <row r="16" ht="33.75" customHeight="1">
      <c r="A16" s="38" t="s">
        <v>387</v>
      </c>
      <c r="B16" s="351"/>
      <c r="C16" s="38"/>
      <c r="D16" s="38"/>
      <c r="E16" s="38"/>
      <c r="F16" s="39"/>
      <c r="G16" s="353"/>
      <c r="H16" s="183"/>
      <c r="I16" s="183"/>
      <c r="J16" s="182"/>
      <c r="K16" s="354"/>
    </row>
    <row r="17" ht="33.75" customHeight="1">
      <c r="A17" s="89" t="s">
        <v>388</v>
      </c>
      <c r="B17" s="88"/>
      <c r="C17" s="89"/>
      <c r="D17" s="89"/>
      <c r="E17" s="89"/>
      <c r="F17" s="355"/>
      <c r="G17" s="356"/>
      <c r="H17" s="183"/>
      <c r="I17" s="183"/>
      <c r="J17" s="358"/>
      <c r="K17" s="354"/>
    </row>
    <row r="18" ht="33.75" customHeight="1">
      <c r="A18" s="27" t="s">
        <v>389</v>
      </c>
      <c r="B18" s="84"/>
      <c r="C18" s="27"/>
      <c r="D18" s="27"/>
      <c r="E18" s="27"/>
      <c r="F18" s="359"/>
      <c r="G18" s="360"/>
      <c r="H18" s="183"/>
      <c r="I18" s="183"/>
      <c r="J18" s="182"/>
      <c r="K18" s="354"/>
    </row>
    <row r="19" ht="33.75" customHeight="1">
      <c r="A19" s="89" t="s">
        <v>390</v>
      </c>
      <c r="B19" s="88"/>
      <c r="C19" s="89"/>
      <c r="D19" s="89"/>
      <c r="E19" s="89"/>
      <c r="F19" s="355"/>
      <c r="G19" s="356"/>
      <c r="H19" s="183"/>
      <c r="I19" s="183"/>
      <c r="J19" s="182"/>
      <c r="K19" s="354"/>
    </row>
    <row r="20" ht="33.75" customHeight="1">
      <c r="A20" s="27" t="s">
        <v>391</v>
      </c>
      <c r="B20" s="84"/>
      <c r="C20" s="27"/>
      <c r="D20" s="27"/>
      <c r="E20" s="27"/>
      <c r="F20" s="359"/>
      <c r="G20" s="360"/>
      <c r="H20" s="183"/>
      <c r="I20" s="183"/>
      <c r="J20" s="182"/>
      <c r="K20" s="354"/>
    </row>
    <row r="21" ht="33.75" customHeight="1">
      <c r="A21" s="102" t="s">
        <v>392</v>
      </c>
      <c r="B21" s="101"/>
      <c r="C21" s="102"/>
      <c r="D21" s="102"/>
      <c r="E21" s="102"/>
      <c r="F21" s="361"/>
      <c r="G21" s="362"/>
      <c r="H21" s="183"/>
      <c r="I21" s="183"/>
      <c r="J21" s="182"/>
      <c r="K21" s="354"/>
    </row>
    <row r="22" ht="33.75" customHeight="1">
      <c r="A22" s="27" t="s">
        <v>393</v>
      </c>
      <c r="B22" s="84"/>
      <c r="C22" s="27"/>
      <c r="D22" s="27"/>
      <c r="E22" s="27"/>
      <c r="F22" s="359"/>
      <c r="G22" s="360"/>
      <c r="H22" s="183"/>
      <c r="I22" s="183"/>
      <c r="J22" s="182"/>
      <c r="K22" s="354"/>
    </row>
    <row r="23" ht="33.75" customHeight="1">
      <c r="A23" s="102" t="s">
        <v>394</v>
      </c>
      <c r="B23" s="101"/>
      <c r="C23" s="102"/>
      <c r="D23" s="102"/>
      <c r="E23" s="102"/>
      <c r="F23" s="361"/>
      <c r="G23" s="362"/>
      <c r="H23" s="183"/>
      <c r="I23" s="183"/>
      <c r="J23" s="182"/>
      <c r="K23" s="354"/>
    </row>
    <row r="24" ht="33.75" customHeight="1">
      <c r="A24" s="27" t="s">
        <v>395</v>
      </c>
      <c r="B24" s="84"/>
      <c r="C24" s="27"/>
      <c r="D24" s="27"/>
      <c r="E24" s="27"/>
      <c r="F24" s="363"/>
      <c r="G24" s="364"/>
      <c r="H24" s="183"/>
      <c r="I24" s="183"/>
      <c r="J24" s="182"/>
      <c r="K24" s="354"/>
    </row>
    <row r="25" ht="33.75" customHeight="1">
      <c r="A25" s="102" t="s">
        <v>396</v>
      </c>
      <c r="B25" s="101"/>
      <c r="C25" s="102"/>
      <c r="D25" s="102"/>
      <c r="E25" s="102"/>
      <c r="F25" s="361"/>
      <c r="G25" s="362"/>
      <c r="H25" s="183"/>
      <c r="I25" s="183"/>
      <c r="J25" s="182"/>
      <c r="K25" s="354"/>
    </row>
    <row r="26" ht="33.75" customHeight="1">
      <c r="A26" s="27" t="s">
        <v>397</v>
      </c>
      <c r="B26" s="84"/>
      <c r="C26" s="27"/>
      <c r="D26" s="27"/>
      <c r="E26" s="27"/>
      <c r="F26" s="359"/>
      <c r="G26" s="360"/>
      <c r="H26" s="183"/>
      <c r="I26" s="183"/>
      <c r="J26" s="182"/>
      <c r="K26" s="354"/>
    </row>
    <row r="27" ht="33.75" customHeight="1">
      <c r="A27" s="102" t="s">
        <v>398</v>
      </c>
      <c r="B27" s="101"/>
      <c r="C27" s="102"/>
      <c r="D27" s="102"/>
      <c r="E27" s="102"/>
      <c r="F27" s="104"/>
      <c r="G27" s="365"/>
      <c r="H27" s="183"/>
      <c r="I27" s="183"/>
      <c r="J27" s="182"/>
      <c r="K27" s="354"/>
    </row>
    <row r="28" ht="23.25" customHeight="1">
      <c r="A28" s="42"/>
      <c r="B28" s="42"/>
      <c r="C28" s="42"/>
    </row>
    <row r="29" ht="23.25" customHeight="1">
      <c r="A29" s="44"/>
      <c r="B29" s="44"/>
      <c r="C29" s="44"/>
    </row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</sheetData>
  <mergeCells count="6">
    <mergeCell ref="A1:E1"/>
    <mergeCell ref="A2:B2"/>
    <mergeCell ref="C2:D2"/>
    <mergeCell ref="A3:B3"/>
    <mergeCell ref="A4:B4"/>
    <mergeCell ref="B6:K6"/>
  </mergeCells>
  <drawing r:id="rId1"/>
</worksheet>
</file>